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xbi\OneDrive\Documents\GitHub\My-Agents\car-sales-agent\output\"/>
    </mc:Choice>
  </mc:AlternateContent>
  <xr:revisionPtr revIDLastSave="0" documentId="13_ncr:1_{38F30621-DFE9-4880-B4BA-B307B47160C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M by Year" sheetId="1" r:id="rId1"/>
    <sheet name="2026 Monthly" sheetId="2" r:id="rId2"/>
  </sheets>
  <definedNames>
    <definedName name="_xlnm._FilterDatabase" localSheetId="1" hidden="1">'2026 Monthly'!$A$1:$J$67</definedName>
    <definedName name="_xlnm._FilterDatabase" localSheetId="0" hidden="1">'TAM by Year'!$B$1:$O$67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2" l="1"/>
  <c r="G68" i="2"/>
  <c r="F68" i="2"/>
  <c r="E68" i="2"/>
  <c r="I67" i="2"/>
  <c r="I66" i="2"/>
  <c r="I65" i="2"/>
  <c r="I64" i="2"/>
  <c r="I61" i="2"/>
  <c r="I58" i="2"/>
  <c r="I57" i="2"/>
  <c r="I53" i="2"/>
  <c r="I50" i="2"/>
  <c r="I47" i="2"/>
  <c r="I46" i="2"/>
  <c r="I45" i="2"/>
  <c r="I44" i="2"/>
  <c r="I43" i="2"/>
  <c r="I41" i="2"/>
  <c r="I40" i="2"/>
  <c r="I39" i="2"/>
  <c r="I38" i="2"/>
  <c r="I37" i="2"/>
  <c r="I36" i="2"/>
  <c r="I33" i="2"/>
  <c r="I31" i="2"/>
  <c r="I30" i="2"/>
  <c r="I29" i="2"/>
  <c r="I28" i="2"/>
  <c r="I27" i="2"/>
  <c r="I25" i="2"/>
  <c r="I24" i="2"/>
  <c r="I22" i="2"/>
  <c r="I18" i="2"/>
  <c r="I17" i="2"/>
  <c r="I16" i="2"/>
  <c r="I15" i="2"/>
  <c r="I14" i="2"/>
  <c r="I12" i="2"/>
  <c r="I11" i="2"/>
  <c r="I10" i="2"/>
  <c r="I9" i="2"/>
  <c r="I8" i="2"/>
  <c r="I7" i="2"/>
  <c r="I6" i="2"/>
  <c r="I5" i="2"/>
  <c r="I4" i="2"/>
  <c r="I3" i="2"/>
  <c r="I2" i="2"/>
  <c r="I68" i="2" s="1"/>
  <c r="N68" i="1"/>
  <c r="M68" i="1"/>
  <c r="L68" i="1"/>
  <c r="K68" i="1"/>
  <c r="J68" i="1"/>
  <c r="I68" i="1"/>
  <c r="H68" i="1"/>
  <c r="G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L69" i="1" s="1"/>
  <c r="L70" i="1" s="1"/>
  <c r="F3" i="1"/>
  <c r="F2" i="1"/>
  <c r="N69" i="1" l="1"/>
  <c r="N70" i="1" s="1"/>
  <c r="M69" i="1"/>
  <c r="M70" i="1" s="1"/>
  <c r="G69" i="1"/>
  <c r="G70" i="1" s="1"/>
  <c r="I69" i="1"/>
  <c r="I70" i="1" s="1"/>
  <c r="H69" i="1"/>
  <c r="H70" i="1" s="1"/>
  <c r="J69" i="1"/>
  <c r="J70" i="1" s="1"/>
  <c r="K69" i="1"/>
  <c r="K70" i="1" s="1"/>
</calcChain>
</file>

<file path=xl/sharedStrings.xml><?xml version="1.0" encoding="utf-8"?>
<sst xmlns="http://schemas.openxmlformats.org/spreadsheetml/2006/main" count="458" uniqueCount="143">
  <si>
    <t>#</t>
  </si>
  <si>
    <t>Vendor</t>
  </si>
  <si>
    <t>Model</t>
  </si>
  <si>
    <t>Type</t>
  </si>
  <si>
    <t>Max MF</t>
  </si>
  <si>
    <t>AAE</t>
  </si>
  <si>
    <t>TAM</t>
  </si>
  <si>
    <t>2026 (YTD)</t>
  </si>
  <si>
    <t>2025</t>
  </si>
  <si>
    <t>2024</t>
  </si>
  <si>
    <t>2023</t>
  </si>
  <si>
    <t>2022</t>
  </si>
  <si>
    <t>2021</t>
  </si>
  <si>
    <t>2020</t>
  </si>
  <si>
    <t>Notes</t>
  </si>
  <si>
    <t>Chery</t>
  </si>
  <si>
    <t>Tiggo8pro</t>
  </si>
  <si>
    <t>PHEV</t>
  </si>
  <si>
    <t>Chrysler</t>
  </si>
  <si>
    <t>Wrangler 4xe sahara</t>
  </si>
  <si>
    <t>All Wrangler variants combined</t>
  </si>
  <si>
    <t>Jaecoo</t>
  </si>
  <si>
    <t>MG</t>
  </si>
  <si>
    <t>HS HYBRID+</t>
  </si>
  <si>
    <t>HEV</t>
  </si>
  <si>
    <t>Omoda</t>
  </si>
  <si>
    <t>Hyundai</t>
  </si>
  <si>
    <t>Elantra</t>
  </si>
  <si>
    <t>7 PHEV</t>
  </si>
  <si>
    <t>EHS</t>
  </si>
  <si>
    <t>All EHS variants combined (EHS/EHS5/EHS7)</t>
  </si>
  <si>
    <t>Tesla</t>
  </si>
  <si>
    <t>3 single motor RWD</t>
  </si>
  <si>
    <t>BEV</t>
  </si>
  <si>
    <t>Ioniq 4</t>
  </si>
  <si>
    <t>BYD</t>
  </si>
  <si>
    <t>Seal U DM-I</t>
  </si>
  <si>
    <t>SEAL U + BYD SEAL U combined</t>
  </si>
  <si>
    <t xml:space="preserve">Porsche </t>
  </si>
  <si>
    <t>Panamera</t>
  </si>
  <si>
    <t>All Panamera PHEV variants combined</t>
  </si>
  <si>
    <t>Suzuki</t>
  </si>
  <si>
    <t>Vitrara</t>
  </si>
  <si>
    <t>Swift GLX micro-hybrid</t>
  </si>
  <si>
    <t>LeapMotor</t>
  </si>
  <si>
    <t>C10</t>
  </si>
  <si>
    <t>C10 covers both PHEV and BEV (rows 17 &amp; 54)</t>
  </si>
  <si>
    <t xml:space="preserve">AUDI </t>
  </si>
  <si>
    <t>Q8 SPORTBACK E-Tron</t>
  </si>
  <si>
    <t>KIA</t>
  </si>
  <si>
    <t>Niro Gen 2</t>
  </si>
  <si>
    <t>Niro Plus Gen1</t>
  </si>
  <si>
    <t>Toyota</t>
  </si>
  <si>
    <t>Camry</t>
  </si>
  <si>
    <t>All Camry HEV variants combined</t>
  </si>
  <si>
    <t>Chevrolet</t>
  </si>
  <si>
    <t>Silverado RST</t>
  </si>
  <si>
    <t>Mitsubishi</t>
  </si>
  <si>
    <t>Outlander</t>
  </si>
  <si>
    <t>Niro Hybrid Gen 1</t>
  </si>
  <si>
    <t xml:space="preserve">VOYAH </t>
  </si>
  <si>
    <t>Courage</t>
  </si>
  <si>
    <t>Corolla sedan</t>
  </si>
  <si>
    <t>Corolla sedan HEV only (excl. Corolla Cross)</t>
  </si>
  <si>
    <t>RAV4</t>
  </si>
  <si>
    <t>RAV4 Hybrid/HSD combined</t>
  </si>
  <si>
    <t>Y Dual motor</t>
  </si>
  <si>
    <t>MODEL Y (all variants)</t>
  </si>
  <si>
    <t>BMW</t>
  </si>
  <si>
    <t>X5 xDrive45e</t>
  </si>
  <si>
    <t>X5 xDrive50e PHEV only</t>
  </si>
  <si>
    <t>4 X-Range</t>
  </si>
  <si>
    <t>Seres</t>
  </si>
  <si>
    <t>M5</t>
  </si>
  <si>
    <t xml:space="preserve">Kona </t>
  </si>
  <si>
    <t>M5 awd+rwd</t>
  </si>
  <si>
    <t>530e</t>
  </si>
  <si>
    <t>Volvo</t>
  </si>
  <si>
    <t>XC40</t>
  </si>
  <si>
    <t>XC40 B4 — mild hybrid</t>
  </si>
  <si>
    <t>Nissan</t>
  </si>
  <si>
    <t>Juke</t>
  </si>
  <si>
    <t>Lynk&amp;Co</t>
  </si>
  <si>
    <t>01</t>
  </si>
  <si>
    <t xml:space="preserve">Geely </t>
  </si>
  <si>
    <t>EX5</t>
  </si>
  <si>
    <t>Sonata</t>
  </si>
  <si>
    <t>Marvel R RWD</t>
  </si>
  <si>
    <t xml:space="preserve">Yaris </t>
  </si>
  <si>
    <t>Yaris Hybrid (excl. Yaris Cross)</t>
  </si>
  <si>
    <t>Yaris cross</t>
  </si>
  <si>
    <t>All Yaris Cross HEV variants combined</t>
  </si>
  <si>
    <t>Xpeng</t>
  </si>
  <si>
    <t>G6</t>
  </si>
  <si>
    <t xml:space="preserve">Sealion 7 </t>
  </si>
  <si>
    <t>Zeekr</t>
  </si>
  <si>
    <t>X</t>
  </si>
  <si>
    <t>Ioniq 5</t>
  </si>
  <si>
    <t>iX3</t>
  </si>
  <si>
    <t>Audi</t>
  </si>
  <si>
    <t>Q4 E-TRON</t>
  </si>
  <si>
    <t>All Q4 E-TRON variants combined (incl. Sportback)</t>
  </si>
  <si>
    <t>Atto 3</t>
  </si>
  <si>
    <t>Honda</t>
  </si>
  <si>
    <t>Accord</t>
  </si>
  <si>
    <t>SKODA</t>
  </si>
  <si>
    <t>Eniaq</t>
  </si>
  <si>
    <t>Geely</t>
  </si>
  <si>
    <t>Geometry C - 480PURE</t>
  </si>
  <si>
    <t>Ford</t>
  </si>
  <si>
    <t>Puma</t>
  </si>
  <si>
    <t>ICE</t>
  </si>
  <si>
    <t>Peugeot</t>
  </si>
  <si>
    <t>E208</t>
  </si>
  <si>
    <t>SantaFe</t>
  </si>
  <si>
    <t>ICE only (excl. SantaFe HEV/PHEV)</t>
  </si>
  <si>
    <t>Volkswagen</t>
  </si>
  <si>
    <t>ID4 2x4</t>
  </si>
  <si>
    <t xml:space="preserve">MG </t>
  </si>
  <si>
    <t>ZS</t>
  </si>
  <si>
    <t>Eveasy</t>
  </si>
  <si>
    <t>Limo</t>
  </si>
  <si>
    <t>CHR</t>
  </si>
  <si>
    <t>CHR + CHR PHEV combined</t>
  </si>
  <si>
    <t>EX30</t>
  </si>
  <si>
    <t>EX30 SM + TM combined</t>
  </si>
  <si>
    <t>001</t>
  </si>
  <si>
    <t>7x</t>
  </si>
  <si>
    <t>TAM (overall)</t>
  </si>
  <si>
    <t>SAM (best fit)</t>
  </si>
  <si>
    <t>SOM (obtainable)</t>
  </si>
  <si>
    <t>Legend:</t>
  </si>
  <si>
    <t>Yellow = No data from either source (gov or Carzone)</t>
  </si>
  <si>
    <t>TAM = max(Gov registrations, Carzone) — yearly columns follow the larger source</t>
  </si>
  <si>
    <t>AAE = Average Annual Exposure (= 0.11 × Max MF + 0.9) — traffic-light icons: green ≥ 7, yellow 4–7, red &lt; 4</t>
  </si>
  <si>
    <t>SAM = models with AAE &gt; 4.0 | SOM = 8% × SAM</t>
  </si>
  <si>
    <t>Source: Israeli Ministry of Transport via data.gov.il | Period: January 2020–April 2026 | Published: May 3, 2026 | Carzone: carzone.co.il scrape (May 2026)</t>
  </si>
  <si>
    <t>Jan</t>
  </si>
  <si>
    <t>Feb</t>
  </si>
  <si>
    <t>Mar</t>
  </si>
  <si>
    <t>Apr</t>
  </si>
  <si>
    <t>Total Jan-Apr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</si>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</sst>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808080"/>
      <name val="Arial"/>
    </font>
    <font>
      <b/>
      <sz val="10"/>
      <name val="Arial"/>
    </font>
    <font>
      <i/>
      <sz val="8"/>
      <color rgb="FF59595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ABB6E"/>
      </patternFill>
    </fill>
    <fill>
      <patternFill patternType="solid">
        <fgColor rgb="FFE07B2A"/>
      </patternFill>
    </fill>
    <fill>
      <patternFill patternType="solid">
        <fgColor rgb="FFB84D0A"/>
      </patternFill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164" fontId="2" fillId="5" borderId="0" xfId="0" applyNumberFormat="1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0" fillId="6" borderId="0" xfId="0" applyFill="1"/>
    <xf numFmtId="3" fontId="1" fillId="6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0" fillId="7" borderId="0" xfId="0" applyFill="1"/>
    <xf numFmtId="3" fontId="1" fillId="7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0" fontId="0" fillId="8" borderId="0" xfId="0" applyFill="1"/>
    <xf numFmtId="3" fontId="1" fillId="8" borderId="0" xfId="0" applyNumberFormat="1" applyFont="1" applyFill="1" applyAlignment="1">
      <alignment horizontal="center" vertical="center"/>
    </xf>
    <xf numFmtId="0" fontId="4" fillId="0" borderId="0" xfId="0" applyFont="1"/>
    <xf numFmtId="0" fontId="0" fillId="5" borderId="0" xfId="0" applyFill="1"/>
    <xf numFmtId="0" fontId="5" fillId="0" borderId="0" xfId="0" applyFont="1"/>
    <xf numFmtId="0" fontId="1" fillId="9" borderId="0" xfId="0" applyFont="1" applyFill="1" applyAlignment="1">
      <alignment horizontal="center" vertical="center"/>
    </xf>
    <xf numFmtId="3" fontId="1" fillId="9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L75" sqref="L75"/>
    </sheetView>
  </sheetViews>
  <sheetFormatPr defaultRowHeight="14.5" x14ac:dyDescent="0.35"/>
  <cols>
    <col min="1" max="1" width="4" customWidth="1"/>
    <col min="2" max="2" width="13" customWidth="1"/>
    <col min="3" max="3" width="24" customWidth="1"/>
    <col min="4" max="4" width="9.6328125" bestFit="1" customWidth="1"/>
    <col min="5" max="5" width="12.08984375" bestFit="1" customWidth="1"/>
    <col min="6" max="6" width="8.90625" bestFit="1" customWidth="1"/>
    <col min="7" max="7" width="12" customWidth="1"/>
    <col min="8" max="14" width="11" customWidth="1"/>
    <col min="15" max="15" width="42.36328125" bestFit="1" customWidth="1"/>
  </cols>
  <sheetData>
    <row r="1" spans="1:15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3">
        <v>1</v>
      </c>
      <c r="B2" s="4" t="s">
        <v>15</v>
      </c>
      <c r="C2" s="4" t="s">
        <v>16</v>
      </c>
      <c r="D2" s="3" t="s">
        <v>17</v>
      </c>
      <c r="E2" s="5">
        <v>249</v>
      </c>
      <c r="F2" s="5">
        <f t="shared" ref="F2:F33" si="0">IF(E2="","",0.11*E2+0.9)</f>
        <v>28.29</v>
      </c>
      <c r="G2" s="6">
        <v>21736</v>
      </c>
      <c r="H2" s="6">
        <v>3042</v>
      </c>
      <c r="I2" s="6">
        <v>8374</v>
      </c>
      <c r="J2" s="6">
        <v>4136</v>
      </c>
      <c r="K2" s="6">
        <v>6184</v>
      </c>
      <c r="L2" s="3"/>
      <c r="M2" s="3"/>
      <c r="N2" s="3"/>
      <c r="O2" s="4"/>
    </row>
    <row r="3" spans="1:15" x14ac:dyDescent="0.35">
      <c r="A3" s="7">
        <v>2</v>
      </c>
      <c r="B3" s="8" t="s">
        <v>18</v>
      </c>
      <c r="C3" s="8" t="s">
        <v>19</v>
      </c>
      <c r="D3" s="7" t="s">
        <v>17</v>
      </c>
      <c r="E3" s="9">
        <v>224</v>
      </c>
      <c r="F3" s="9">
        <f t="shared" si="0"/>
        <v>25.54</v>
      </c>
      <c r="G3" s="10">
        <v>4655</v>
      </c>
      <c r="H3" s="10">
        <v>153</v>
      </c>
      <c r="I3" s="10">
        <v>187</v>
      </c>
      <c r="J3" s="10">
        <v>163</v>
      </c>
      <c r="K3" s="10">
        <v>726</v>
      </c>
      <c r="L3" s="10">
        <v>1468</v>
      </c>
      <c r="M3" s="10">
        <v>1421</v>
      </c>
      <c r="N3" s="10">
        <v>537</v>
      </c>
      <c r="O3" s="8" t="s">
        <v>20</v>
      </c>
    </row>
    <row r="4" spans="1:15" x14ac:dyDescent="0.35">
      <c r="A4" s="3">
        <v>3</v>
      </c>
      <c r="B4" s="4" t="s">
        <v>21</v>
      </c>
      <c r="C4" s="4">
        <v>8</v>
      </c>
      <c r="D4" s="3" t="s">
        <v>17</v>
      </c>
      <c r="E4" s="5">
        <v>201</v>
      </c>
      <c r="F4" s="5">
        <f t="shared" si="0"/>
        <v>23.009999999999998</v>
      </c>
      <c r="G4" s="6">
        <v>3920</v>
      </c>
      <c r="H4" s="6">
        <v>3827</v>
      </c>
      <c r="I4" s="6">
        <v>93</v>
      </c>
      <c r="J4" s="3"/>
      <c r="K4" s="3"/>
      <c r="L4" s="3"/>
      <c r="M4" s="3"/>
      <c r="N4" s="3"/>
      <c r="O4" s="4"/>
    </row>
    <row r="5" spans="1:15" x14ac:dyDescent="0.35">
      <c r="A5" s="7">
        <v>4</v>
      </c>
      <c r="B5" s="8" t="s">
        <v>22</v>
      </c>
      <c r="C5" s="8" t="s">
        <v>23</v>
      </c>
      <c r="D5" s="7" t="s">
        <v>24</v>
      </c>
      <c r="E5" s="9">
        <v>190</v>
      </c>
      <c r="F5" s="9">
        <f t="shared" si="0"/>
        <v>21.799999999999997</v>
      </c>
      <c r="G5" s="10">
        <v>884</v>
      </c>
      <c r="H5" s="10">
        <v>496</v>
      </c>
      <c r="I5" s="10">
        <v>388</v>
      </c>
      <c r="J5" s="7"/>
      <c r="K5" s="7"/>
      <c r="L5" s="7"/>
      <c r="M5" s="7"/>
      <c r="N5" s="7"/>
      <c r="O5" s="8"/>
    </row>
    <row r="6" spans="1:15" x14ac:dyDescent="0.35">
      <c r="A6" s="3">
        <v>5</v>
      </c>
      <c r="B6" s="4" t="s">
        <v>25</v>
      </c>
      <c r="C6" s="4">
        <v>9</v>
      </c>
      <c r="D6" s="3" t="s">
        <v>17</v>
      </c>
      <c r="E6" s="5">
        <v>168</v>
      </c>
      <c r="F6" s="5">
        <f t="shared" si="0"/>
        <v>19.38</v>
      </c>
      <c r="G6" s="6">
        <v>510</v>
      </c>
      <c r="H6" s="6">
        <v>487</v>
      </c>
      <c r="I6" s="6">
        <v>23</v>
      </c>
      <c r="J6" s="3"/>
      <c r="K6" s="3"/>
      <c r="L6" s="3"/>
      <c r="M6" s="3"/>
      <c r="N6" s="3"/>
      <c r="O6" s="4"/>
    </row>
    <row r="7" spans="1:15" x14ac:dyDescent="0.35">
      <c r="A7" s="7">
        <v>6</v>
      </c>
      <c r="B7" s="8" t="s">
        <v>26</v>
      </c>
      <c r="C7" s="8" t="s">
        <v>27</v>
      </c>
      <c r="D7" s="7" t="s">
        <v>24</v>
      </c>
      <c r="E7" s="9">
        <v>156</v>
      </c>
      <c r="F7" s="9">
        <f t="shared" si="0"/>
        <v>18.059999999999999</v>
      </c>
      <c r="G7" s="10">
        <v>30349</v>
      </c>
      <c r="H7" s="10">
        <v>1017</v>
      </c>
      <c r="I7" s="10">
        <v>6071</v>
      </c>
      <c r="J7" s="10">
        <v>8379</v>
      </c>
      <c r="K7" s="10">
        <v>8055</v>
      </c>
      <c r="L7" s="10">
        <v>5789</v>
      </c>
      <c r="M7" s="10">
        <v>1038</v>
      </c>
      <c r="N7" s="7"/>
      <c r="O7" s="8"/>
    </row>
    <row r="8" spans="1:15" x14ac:dyDescent="0.35">
      <c r="A8" s="3">
        <v>7</v>
      </c>
      <c r="B8" s="4" t="s">
        <v>25</v>
      </c>
      <c r="C8" s="4">
        <v>7</v>
      </c>
      <c r="D8" s="3" t="s">
        <v>17</v>
      </c>
      <c r="E8" s="5">
        <v>148</v>
      </c>
      <c r="F8" s="5">
        <f t="shared" si="0"/>
        <v>17.18</v>
      </c>
      <c r="G8" s="6">
        <v>1031</v>
      </c>
      <c r="H8" s="6">
        <v>1005</v>
      </c>
      <c r="I8" s="6">
        <v>26</v>
      </c>
      <c r="J8" s="3"/>
      <c r="K8" s="3"/>
      <c r="L8" s="3"/>
      <c r="M8" s="3"/>
      <c r="N8" s="3"/>
      <c r="O8" s="4"/>
    </row>
    <row r="9" spans="1:15" x14ac:dyDescent="0.35">
      <c r="A9" s="7">
        <v>8</v>
      </c>
      <c r="B9" s="8" t="s">
        <v>21</v>
      </c>
      <c r="C9" s="8" t="s">
        <v>28</v>
      </c>
      <c r="D9" s="7" t="s">
        <v>17</v>
      </c>
      <c r="E9" s="9">
        <v>137</v>
      </c>
      <c r="F9" s="9">
        <f t="shared" si="0"/>
        <v>15.97</v>
      </c>
      <c r="G9" s="10">
        <v>22025</v>
      </c>
      <c r="H9" s="10">
        <v>5453</v>
      </c>
      <c r="I9" s="10">
        <v>15215</v>
      </c>
      <c r="J9" s="10">
        <v>1357</v>
      </c>
      <c r="K9" s="7"/>
      <c r="L9" s="7"/>
      <c r="M9" s="7"/>
      <c r="N9" s="7"/>
      <c r="O9" s="8"/>
    </row>
    <row r="10" spans="1:15" x14ac:dyDescent="0.35">
      <c r="A10" s="3">
        <v>9</v>
      </c>
      <c r="B10" s="4" t="s">
        <v>21</v>
      </c>
      <c r="C10" s="4">
        <v>5</v>
      </c>
      <c r="D10" s="3" t="s">
        <v>24</v>
      </c>
      <c r="E10" s="5">
        <v>128</v>
      </c>
      <c r="F10" s="5">
        <f t="shared" si="0"/>
        <v>14.98</v>
      </c>
      <c r="G10" s="6">
        <v>5803</v>
      </c>
      <c r="H10" s="6">
        <v>4870</v>
      </c>
      <c r="I10" s="6">
        <v>933</v>
      </c>
      <c r="J10" s="3"/>
      <c r="K10" s="3"/>
      <c r="L10" s="3"/>
      <c r="M10" s="3"/>
      <c r="N10" s="3"/>
      <c r="O10" s="4"/>
    </row>
    <row r="11" spans="1:15" x14ac:dyDescent="0.35">
      <c r="A11" s="7">
        <v>10</v>
      </c>
      <c r="B11" s="8" t="s">
        <v>22</v>
      </c>
      <c r="C11" s="8" t="s">
        <v>29</v>
      </c>
      <c r="D11" s="7" t="s">
        <v>17</v>
      </c>
      <c r="E11" s="9">
        <v>124</v>
      </c>
      <c r="F11" s="9">
        <f t="shared" si="0"/>
        <v>14.540000000000001</v>
      </c>
      <c r="G11" s="10">
        <v>1176</v>
      </c>
      <c r="H11" s="10">
        <v>391</v>
      </c>
      <c r="I11" s="10">
        <v>785</v>
      </c>
      <c r="J11" s="7"/>
      <c r="K11" s="7"/>
      <c r="L11" s="7"/>
      <c r="M11" s="7"/>
      <c r="N11" s="7"/>
      <c r="O11" s="8" t="s">
        <v>30</v>
      </c>
    </row>
    <row r="12" spans="1:15" x14ac:dyDescent="0.35">
      <c r="A12" s="3">
        <v>11</v>
      </c>
      <c r="B12" s="4" t="s">
        <v>31</v>
      </c>
      <c r="C12" s="4" t="s">
        <v>32</v>
      </c>
      <c r="D12" s="3" t="s">
        <v>33</v>
      </c>
      <c r="E12" s="5">
        <v>123.501</v>
      </c>
      <c r="F12" s="5">
        <f t="shared" si="0"/>
        <v>14.485110000000001</v>
      </c>
      <c r="G12" s="6">
        <v>20058</v>
      </c>
      <c r="H12" s="6">
        <v>766</v>
      </c>
      <c r="I12" s="6">
        <v>1986</v>
      </c>
      <c r="J12" s="6">
        <v>3960</v>
      </c>
      <c r="K12" s="6">
        <v>2394</v>
      </c>
      <c r="L12" s="6">
        <v>4654</v>
      </c>
      <c r="M12" s="6">
        <v>6293</v>
      </c>
      <c r="N12" s="6">
        <v>5</v>
      </c>
      <c r="O12" s="4"/>
    </row>
    <row r="13" spans="1:15" x14ac:dyDescent="0.35">
      <c r="A13" s="7">
        <v>12</v>
      </c>
      <c r="B13" s="8" t="s">
        <v>26</v>
      </c>
      <c r="C13" s="8" t="s">
        <v>34</v>
      </c>
      <c r="D13" s="7" t="s">
        <v>24</v>
      </c>
      <c r="E13" s="9">
        <v>112</v>
      </c>
      <c r="F13" s="9">
        <f t="shared" si="0"/>
        <v>13.22</v>
      </c>
      <c r="G13" s="10">
        <v>27829</v>
      </c>
      <c r="H13" s="7"/>
      <c r="I13" s="7"/>
      <c r="J13" s="7"/>
      <c r="K13" s="10">
        <v>18</v>
      </c>
      <c r="L13" s="10">
        <v>5756</v>
      </c>
      <c r="M13" s="10">
        <v>12144</v>
      </c>
      <c r="N13" s="10">
        <v>9911</v>
      </c>
      <c r="O13" s="8"/>
    </row>
    <row r="14" spans="1:15" x14ac:dyDescent="0.35">
      <c r="A14" s="3">
        <v>13</v>
      </c>
      <c r="B14" s="4" t="s">
        <v>35</v>
      </c>
      <c r="C14" s="4" t="s">
        <v>36</v>
      </c>
      <c r="D14" s="3" t="s">
        <v>17</v>
      </c>
      <c r="E14" s="5">
        <v>96</v>
      </c>
      <c r="F14" s="5">
        <f t="shared" si="0"/>
        <v>11.46</v>
      </c>
      <c r="G14" s="6">
        <v>8797</v>
      </c>
      <c r="H14" s="6">
        <v>2663</v>
      </c>
      <c r="I14" s="6">
        <v>5690</v>
      </c>
      <c r="J14" s="6">
        <v>444</v>
      </c>
      <c r="K14" s="3"/>
      <c r="L14" s="3"/>
      <c r="M14" s="3"/>
      <c r="N14" s="3"/>
      <c r="O14" s="4" t="s">
        <v>37</v>
      </c>
    </row>
    <row r="15" spans="1:15" x14ac:dyDescent="0.35">
      <c r="A15" s="7">
        <v>14</v>
      </c>
      <c r="B15" s="8" t="s">
        <v>38</v>
      </c>
      <c r="C15" s="8" t="s">
        <v>39</v>
      </c>
      <c r="D15" s="7" t="s">
        <v>17</v>
      </c>
      <c r="E15" s="9">
        <v>95</v>
      </c>
      <c r="F15" s="9">
        <f t="shared" si="0"/>
        <v>11.35</v>
      </c>
      <c r="G15" s="10">
        <v>124</v>
      </c>
      <c r="H15" s="10">
        <v>10</v>
      </c>
      <c r="I15" s="10">
        <v>22</v>
      </c>
      <c r="J15" s="10">
        <v>7</v>
      </c>
      <c r="K15" s="10">
        <v>10</v>
      </c>
      <c r="L15" s="10">
        <v>15</v>
      </c>
      <c r="M15" s="10">
        <v>18</v>
      </c>
      <c r="N15" s="10">
        <v>42</v>
      </c>
      <c r="O15" s="8" t="s">
        <v>40</v>
      </c>
    </row>
    <row r="16" spans="1:15" x14ac:dyDescent="0.35">
      <c r="A16" s="3">
        <v>15</v>
      </c>
      <c r="B16" s="4" t="s">
        <v>41</v>
      </c>
      <c r="C16" s="4" t="s">
        <v>42</v>
      </c>
      <c r="D16" s="3" t="s">
        <v>24</v>
      </c>
      <c r="E16" s="5">
        <v>81</v>
      </c>
      <c r="F16" s="5">
        <f t="shared" si="0"/>
        <v>9.81</v>
      </c>
      <c r="G16" s="6">
        <v>10584</v>
      </c>
      <c r="H16" s="6">
        <v>183</v>
      </c>
      <c r="I16" s="6">
        <v>592</v>
      </c>
      <c r="J16" s="6">
        <v>1097</v>
      </c>
      <c r="K16" s="6">
        <v>1527</v>
      </c>
      <c r="L16" s="6">
        <v>1948</v>
      </c>
      <c r="M16" s="6">
        <v>3033</v>
      </c>
      <c r="N16" s="6">
        <v>2204</v>
      </c>
      <c r="O16" s="4"/>
    </row>
    <row r="17" spans="1:15" x14ac:dyDescent="0.35">
      <c r="A17" s="7">
        <v>16</v>
      </c>
      <c r="B17" s="8" t="s">
        <v>41</v>
      </c>
      <c r="C17" s="8" t="s">
        <v>43</v>
      </c>
      <c r="D17" s="7" t="s">
        <v>24</v>
      </c>
      <c r="E17" s="9">
        <v>80.47</v>
      </c>
      <c r="F17" s="9">
        <f t="shared" si="0"/>
        <v>9.7516999999999996</v>
      </c>
      <c r="G17" s="10">
        <v>10120</v>
      </c>
      <c r="H17" s="10">
        <v>506</v>
      </c>
      <c r="I17" s="10">
        <v>1637</v>
      </c>
      <c r="J17" s="10">
        <v>1905</v>
      </c>
      <c r="K17" s="10">
        <v>1561</v>
      </c>
      <c r="L17" s="10">
        <v>1215</v>
      </c>
      <c r="M17" s="10">
        <v>2006</v>
      </c>
      <c r="N17" s="10">
        <v>1290</v>
      </c>
      <c r="O17" s="8"/>
    </row>
    <row r="18" spans="1:15" x14ac:dyDescent="0.35">
      <c r="A18" s="3">
        <v>17</v>
      </c>
      <c r="B18" s="4" t="s">
        <v>44</v>
      </c>
      <c r="C18" s="4" t="s">
        <v>45</v>
      </c>
      <c r="D18" s="3" t="s">
        <v>17</v>
      </c>
      <c r="E18" s="5">
        <v>77</v>
      </c>
      <c r="F18" s="5">
        <f t="shared" si="0"/>
        <v>9.370000000000001</v>
      </c>
      <c r="G18" s="6">
        <v>1566</v>
      </c>
      <c r="H18" s="6">
        <v>453</v>
      </c>
      <c r="I18" s="6">
        <v>1102</v>
      </c>
      <c r="J18" s="6">
        <v>11</v>
      </c>
      <c r="K18" s="3"/>
      <c r="L18" s="3"/>
      <c r="M18" s="3"/>
      <c r="N18" s="3"/>
      <c r="O18" s="4" t="s">
        <v>46</v>
      </c>
    </row>
    <row r="19" spans="1:15" x14ac:dyDescent="0.35">
      <c r="A19" s="7">
        <v>18</v>
      </c>
      <c r="B19" s="8" t="s">
        <v>47</v>
      </c>
      <c r="C19" s="8" t="s">
        <v>48</v>
      </c>
      <c r="D19" s="7" t="s">
        <v>33</v>
      </c>
      <c r="E19" s="9">
        <v>73</v>
      </c>
      <c r="F19" s="9">
        <f t="shared" si="0"/>
        <v>8.93</v>
      </c>
      <c r="G19" s="10">
        <v>371</v>
      </c>
      <c r="H19" s="7"/>
      <c r="I19" s="7"/>
      <c r="J19" s="10">
        <v>60</v>
      </c>
      <c r="K19" s="10">
        <v>43</v>
      </c>
      <c r="L19" s="10">
        <v>71</v>
      </c>
      <c r="M19" s="10">
        <v>107</v>
      </c>
      <c r="N19" s="10">
        <v>90</v>
      </c>
      <c r="O19" s="8"/>
    </row>
    <row r="20" spans="1:15" x14ac:dyDescent="0.35">
      <c r="A20" s="3">
        <v>19</v>
      </c>
      <c r="B20" s="4" t="s">
        <v>49</v>
      </c>
      <c r="C20" s="4" t="s">
        <v>50</v>
      </c>
      <c r="D20" s="3" t="s">
        <v>17</v>
      </c>
      <c r="E20" s="5">
        <v>71.5</v>
      </c>
      <c r="F20" s="5">
        <f t="shared" si="0"/>
        <v>8.7650000000000006</v>
      </c>
      <c r="G20" s="6">
        <v>4119</v>
      </c>
      <c r="H20" s="3"/>
      <c r="I20" s="3"/>
      <c r="J20" s="6">
        <v>2760</v>
      </c>
      <c r="K20" s="6">
        <v>1359</v>
      </c>
      <c r="L20" s="6">
        <v>0</v>
      </c>
      <c r="M20" s="6">
        <v>0</v>
      </c>
      <c r="N20" s="6">
        <v>0</v>
      </c>
      <c r="O20" s="4"/>
    </row>
    <row r="21" spans="1:15" x14ac:dyDescent="0.35">
      <c r="A21" s="7">
        <v>20</v>
      </c>
      <c r="B21" s="8" t="s">
        <v>49</v>
      </c>
      <c r="C21" s="8" t="s">
        <v>51</v>
      </c>
      <c r="D21" s="7" t="s">
        <v>17</v>
      </c>
      <c r="E21" s="9">
        <v>71.5</v>
      </c>
      <c r="F21" s="9">
        <f t="shared" si="0"/>
        <v>8.7650000000000006</v>
      </c>
      <c r="G21" s="10">
        <v>9687</v>
      </c>
      <c r="H21" s="7"/>
      <c r="I21" s="7"/>
      <c r="J21" s="10">
        <v>1395</v>
      </c>
      <c r="K21" s="10">
        <v>7132</v>
      </c>
      <c r="L21" s="10">
        <v>1160</v>
      </c>
      <c r="M21" s="10">
        <v>0</v>
      </c>
      <c r="N21" s="10">
        <v>0</v>
      </c>
      <c r="O21" s="8"/>
    </row>
    <row r="22" spans="1:15" x14ac:dyDescent="0.35">
      <c r="A22" s="3">
        <v>21</v>
      </c>
      <c r="B22" s="4" t="s">
        <v>52</v>
      </c>
      <c r="C22" s="4" t="s">
        <v>53</v>
      </c>
      <c r="D22" s="3" t="s">
        <v>24</v>
      </c>
      <c r="E22" s="5">
        <v>71.055999999999997</v>
      </c>
      <c r="F22" s="5">
        <f t="shared" si="0"/>
        <v>8.7161600000000004</v>
      </c>
      <c r="G22" s="6">
        <v>4280</v>
      </c>
      <c r="H22" s="6">
        <v>211</v>
      </c>
      <c r="I22" s="6">
        <v>568</v>
      </c>
      <c r="J22" s="6">
        <v>336</v>
      </c>
      <c r="K22" s="6">
        <v>488</v>
      </c>
      <c r="L22" s="6">
        <v>771</v>
      </c>
      <c r="M22" s="6">
        <v>1313</v>
      </c>
      <c r="N22" s="6">
        <v>593</v>
      </c>
      <c r="O22" s="4" t="s">
        <v>54</v>
      </c>
    </row>
    <row r="23" spans="1:15" x14ac:dyDescent="0.35">
      <c r="A23" s="11">
        <v>22</v>
      </c>
      <c r="B23" s="12" t="s">
        <v>55</v>
      </c>
      <c r="C23" s="12" t="s">
        <v>56</v>
      </c>
      <c r="D23" s="11" t="s">
        <v>33</v>
      </c>
      <c r="E23" s="13">
        <v>65</v>
      </c>
      <c r="F23" s="13">
        <f t="shared" si="0"/>
        <v>8.0500000000000007</v>
      </c>
      <c r="G23" s="14">
        <v>956</v>
      </c>
      <c r="H23" s="15"/>
      <c r="I23" s="15"/>
      <c r="J23" s="15"/>
      <c r="K23" s="15"/>
      <c r="L23" s="15"/>
      <c r="M23" s="15"/>
      <c r="N23" s="15"/>
      <c r="O23" s="12"/>
    </row>
    <row r="24" spans="1:15" x14ac:dyDescent="0.35">
      <c r="A24" s="3">
        <v>23</v>
      </c>
      <c r="B24" s="4" t="s">
        <v>57</v>
      </c>
      <c r="C24" s="4" t="s">
        <v>58</v>
      </c>
      <c r="D24" s="3" t="s">
        <v>17</v>
      </c>
      <c r="E24" s="5">
        <v>61</v>
      </c>
      <c r="F24" s="5">
        <f t="shared" si="0"/>
        <v>7.61</v>
      </c>
      <c r="G24" s="6">
        <v>28996</v>
      </c>
      <c r="H24" s="6">
        <v>1750</v>
      </c>
      <c r="I24" s="6">
        <v>4152</v>
      </c>
      <c r="J24" s="6">
        <v>4985</v>
      </c>
      <c r="K24" s="6">
        <v>5171</v>
      </c>
      <c r="L24" s="6">
        <v>3012</v>
      </c>
      <c r="M24" s="6">
        <v>5187</v>
      </c>
      <c r="N24" s="6">
        <v>4739</v>
      </c>
      <c r="O24" s="4"/>
    </row>
    <row r="25" spans="1:15" x14ac:dyDescent="0.35">
      <c r="A25" s="7">
        <v>24</v>
      </c>
      <c r="B25" s="8" t="s">
        <v>49</v>
      </c>
      <c r="C25" s="8" t="s">
        <v>59</v>
      </c>
      <c r="D25" s="7" t="s">
        <v>24</v>
      </c>
      <c r="E25" s="9">
        <v>57.997999999999998</v>
      </c>
      <c r="F25" s="9">
        <f t="shared" si="0"/>
        <v>7.2797799999999997</v>
      </c>
      <c r="G25" s="10">
        <v>11284</v>
      </c>
      <c r="H25" s="7"/>
      <c r="I25" s="7"/>
      <c r="J25" s="10">
        <v>0</v>
      </c>
      <c r="K25" s="10">
        <v>0</v>
      </c>
      <c r="L25" s="10">
        <v>592</v>
      </c>
      <c r="M25" s="10">
        <v>4926</v>
      </c>
      <c r="N25" s="10">
        <v>5766</v>
      </c>
      <c r="O25" s="8"/>
    </row>
    <row r="26" spans="1:15" x14ac:dyDescent="0.35">
      <c r="A26" s="3">
        <v>25</v>
      </c>
      <c r="B26" s="4" t="s">
        <v>60</v>
      </c>
      <c r="C26" s="4" t="s">
        <v>61</v>
      </c>
      <c r="D26" s="3" t="s">
        <v>33</v>
      </c>
      <c r="E26" s="5">
        <v>50</v>
      </c>
      <c r="F26" s="5">
        <f t="shared" si="0"/>
        <v>6.4</v>
      </c>
      <c r="G26" s="6">
        <v>291</v>
      </c>
      <c r="H26" s="6">
        <v>160</v>
      </c>
      <c r="I26" s="6">
        <v>131</v>
      </c>
      <c r="J26" s="3"/>
      <c r="K26" s="3"/>
      <c r="L26" s="3"/>
      <c r="M26" s="3"/>
      <c r="N26" s="3"/>
      <c r="O26" s="4"/>
    </row>
    <row r="27" spans="1:15" x14ac:dyDescent="0.35">
      <c r="A27" s="7">
        <v>26</v>
      </c>
      <c r="B27" s="8" t="s">
        <v>52</v>
      </c>
      <c r="C27" s="8" t="s">
        <v>62</v>
      </c>
      <c r="D27" s="7" t="s">
        <v>24</v>
      </c>
      <c r="E27" s="9">
        <v>45.1</v>
      </c>
      <c r="F27" s="9">
        <f t="shared" si="0"/>
        <v>5.8610000000000007</v>
      </c>
      <c r="G27" s="10">
        <v>56728</v>
      </c>
      <c r="H27" s="10">
        <v>474</v>
      </c>
      <c r="I27" s="10">
        <v>1015</v>
      </c>
      <c r="J27" s="10">
        <v>4279</v>
      </c>
      <c r="K27" s="10">
        <v>6046</v>
      </c>
      <c r="L27" s="10">
        <v>11164</v>
      </c>
      <c r="M27" s="10">
        <v>19631</v>
      </c>
      <c r="N27" s="10">
        <v>14119</v>
      </c>
      <c r="O27" s="8" t="s">
        <v>63</v>
      </c>
    </row>
    <row r="28" spans="1:15" x14ac:dyDescent="0.35">
      <c r="A28" s="3">
        <v>27</v>
      </c>
      <c r="B28" s="4" t="s">
        <v>52</v>
      </c>
      <c r="C28" s="4" t="s">
        <v>64</v>
      </c>
      <c r="D28" s="3" t="s">
        <v>24</v>
      </c>
      <c r="E28" s="5">
        <v>40.700000000000003</v>
      </c>
      <c r="F28" s="5">
        <f t="shared" si="0"/>
        <v>5.3770000000000007</v>
      </c>
      <c r="G28" s="6">
        <v>39017</v>
      </c>
      <c r="H28" s="6">
        <v>1740</v>
      </c>
      <c r="I28" s="6">
        <v>7500</v>
      </c>
      <c r="J28" s="6">
        <v>7135</v>
      </c>
      <c r="K28" s="6">
        <v>4699</v>
      </c>
      <c r="L28" s="6">
        <v>5835</v>
      </c>
      <c r="M28" s="6">
        <v>6922</v>
      </c>
      <c r="N28" s="6">
        <v>5186</v>
      </c>
      <c r="O28" s="4" t="s">
        <v>65</v>
      </c>
    </row>
    <row r="29" spans="1:15" x14ac:dyDescent="0.35">
      <c r="A29" s="7">
        <v>28</v>
      </c>
      <c r="B29" s="8" t="s">
        <v>31</v>
      </c>
      <c r="C29" s="8" t="s">
        <v>66</v>
      </c>
      <c r="D29" s="7" t="s">
        <v>33</v>
      </c>
      <c r="E29" s="9">
        <v>38.978000000000002</v>
      </c>
      <c r="F29" s="9">
        <f t="shared" si="0"/>
        <v>5.1875800000000005</v>
      </c>
      <c r="G29" s="10">
        <v>14640</v>
      </c>
      <c r="H29" s="10">
        <v>1065</v>
      </c>
      <c r="I29" s="10">
        <v>4082</v>
      </c>
      <c r="J29" s="10">
        <v>4240</v>
      </c>
      <c r="K29" s="10">
        <v>4151</v>
      </c>
      <c r="L29" s="10">
        <v>1102</v>
      </c>
      <c r="M29" s="7"/>
      <c r="N29" s="7"/>
      <c r="O29" s="8" t="s">
        <v>67</v>
      </c>
    </row>
    <row r="30" spans="1:15" x14ac:dyDescent="0.35">
      <c r="A30" s="3">
        <v>29</v>
      </c>
      <c r="B30" s="4" t="s">
        <v>68</v>
      </c>
      <c r="C30" s="4" t="s">
        <v>69</v>
      </c>
      <c r="D30" s="3" t="s">
        <v>17</v>
      </c>
      <c r="E30" s="5">
        <v>37</v>
      </c>
      <c r="F30" s="5">
        <f t="shared" si="0"/>
        <v>4.9700000000000006</v>
      </c>
      <c r="G30" s="6">
        <v>1558</v>
      </c>
      <c r="H30" s="6">
        <v>128</v>
      </c>
      <c r="I30" s="6">
        <v>238</v>
      </c>
      <c r="J30" s="6">
        <v>184</v>
      </c>
      <c r="K30" s="6">
        <v>274</v>
      </c>
      <c r="L30" s="6">
        <v>283</v>
      </c>
      <c r="M30" s="6">
        <v>281</v>
      </c>
      <c r="N30" s="6">
        <v>170</v>
      </c>
      <c r="O30" s="4" t="s">
        <v>70</v>
      </c>
    </row>
    <row r="31" spans="1:15" x14ac:dyDescent="0.35">
      <c r="A31" s="7">
        <v>30</v>
      </c>
      <c r="B31" s="8" t="s">
        <v>22</v>
      </c>
      <c r="C31" s="8" t="s">
        <v>71</v>
      </c>
      <c r="D31" s="7" t="s">
        <v>33</v>
      </c>
      <c r="E31" s="9">
        <v>36</v>
      </c>
      <c r="F31" s="9">
        <f t="shared" si="0"/>
        <v>4.8600000000000003</v>
      </c>
      <c r="G31" s="10">
        <v>6136</v>
      </c>
      <c r="H31" s="10">
        <v>57</v>
      </c>
      <c r="I31" s="10">
        <v>1697</v>
      </c>
      <c r="J31" s="10">
        <v>2720</v>
      </c>
      <c r="K31" s="10">
        <v>1662</v>
      </c>
      <c r="L31" s="7"/>
      <c r="M31" s="7"/>
      <c r="N31" s="7"/>
      <c r="O31" s="8"/>
    </row>
    <row r="32" spans="1:15" x14ac:dyDescent="0.35">
      <c r="A32" s="3">
        <v>31</v>
      </c>
      <c r="B32" s="4" t="s">
        <v>72</v>
      </c>
      <c r="C32" s="4" t="s">
        <v>73</v>
      </c>
      <c r="D32" s="3" t="s">
        <v>33</v>
      </c>
      <c r="E32" s="5">
        <v>35</v>
      </c>
      <c r="F32" s="5">
        <f t="shared" si="0"/>
        <v>4.75</v>
      </c>
      <c r="G32" s="6">
        <v>3302</v>
      </c>
      <c r="H32" s="3"/>
      <c r="I32" s="6">
        <v>1719</v>
      </c>
      <c r="J32" s="6">
        <v>1419</v>
      </c>
      <c r="K32" s="6">
        <v>164</v>
      </c>
      <c r="L32" s="3"/>
      <c r="M32" s="3"/>
      <c r="N32" s="3"/>
      <c r="O32" s="4"/>
    </row>
    <row r="33" spans="1:15" x14ac:dyDescent="0.35">
      <c r="A33" s="7">
        <v>32</v>
      </c>
      <c r="B33" s="8" t="s">
        <v>26</v>
      </c>
      <c r="C33" s="8" t="s">
        <v>74</v>
      </c>
      <c r="D33" s="7" t="s">
        <v>24</v>
      </c>
      <c r="E33" s="9">
        <v>34.5</v>
      </c>
      <c r="F33" s="9">
        <f t="shared" si="0"/>
        <v>4.6950000000000003</v>
      </c>
      <c r="G33" s="10">
        <v>39024</v>
      </c>
      <c r="H33" s="10">
        <v>5127</v>
      </c>
      <c r="I33" s="10">
        <v>11759</v>
      </c>
      <c r="J33" s="10">
        <v>6373</v>
      </c>
      <c r="K33" s="10">
        <v>4696</v>
      </c>
      <c r="L33" s="10">
        <v>4375</v>
      </c>
      <c r="M33" s="10">
        <v>3620</v>
      </c>
      <c r="N33" s="10">
        <v>3074</v>
      </c>
      <c r="O33" s="8"/>
    </row>
    <row r="34" spans="1:15" x14ac:dyDescent="0.35">
      <c r="A34" s="3">
        <v>33</v>
      </c>
      <c r="B34" s="4" t="s">
        <v>72</v>
      </c>
      <c r="C34" s="4" t="s">
        <v>75</v>
      </c>
      <c r="D34" s="3" t="s">
        <v>33</v>
      </c>
      <c r="E34" s="5">
        <v>33.5</v>
      </c>
      <c r="F34" s="5">
        <f t="shared" ref="F34:F65" si="1">IF(E34="","",0.11*E34+0.9)</f>
        <v>4.585</v>
      </c>
      <c r="G34" s="6">
        <v>3302</v>
      </c>
      <c r="H34" s="3"/>
      <c r="I34" s="6">
        <v>1719</v>
      </c>
      <c r="J34" s="6">
        <v>1419</v>
      </c>
      <c r="K34" s="6">
        <v>164</v>
      </c>
      <c r="L34" s="3"/>
      <c r="M34" s="3"/>
      <c r="N34" s="3"/>
      <c r="O34" s="4"/>
    </row>
    <row r="35" spans="1:15" x14ac:dyDescent="0.35">
      <c r="A35" s="7">
        <v>34</v>
      </c>
      <c r="B35" s="8" t="s">
        <v>26</v>
      </c>
      <c r="C35" s="8" t="s">
        <v>74</v>
      </c>
      <c r="D35" s="7" t="s">
        <v>33</v>
      </c>
      <c r="E35" s="9">
        <v>30.9</v>
      </c>
      <c r="F35" s="9">
        <f t="shared" si="1"/>
        <v>4.2990000000000004</v>
      </c>
      <c r="G35" s="10">
        <v>16156</v>
      </c>
      <c r="H35" s="7"/>
      <c r="I35" s="10">
        <v>11759</v>
      </c>
      <c r="J35" s="7"/>
      <c r="K35" s="10">
        <v>1323</v>
      </c>
      <c r="L35" s="7"/>
      <c r="M35" s="7"/>
      <c r="N35" s="10">
        <v>3074</v>
      </c>
      <c r="O35" s="8"/>
    </row>
    <row r="36" spans="1:15" x14ac:dyDescent="0.35">
      <c r="A36" s="3">
        <v>35</v>
      </c>
      <c r="B36" s="4" t="s">
        <v>68</v>
      </c>
      <c r="C36" s="4" t="s">
        <v>76</v>
      </c>
      <c r="D36" s="3" t="s">
        <v>17</v>
      </c>
      <c r="E36" s="5">
        <v>30.29</v>
      </c>
      <c r="F36" s="5">
        <f t="shared" si="1"/>
        <v>4.2319000000000004</v>
      </c>
      <c r="G36" s="6">
        <v>1790</v>
      </c>
      <c r="H36" s="6">
        <v>115</v>
      </c>
      <c r="I36" s="6">
        <v>279</v>
      </c>
      <c r="J36" s="6">
        <v>210</v>
      </c>
      <c r="K36" s="6">
        <v>281</v>
      </c>
      <c r="L36" s="6">
        <v>328</v>
      </c>
      <c r="M36" s="6">
        <v>250</v>
      </c>
      <c r="N36" s="6">
        <v>327</v>
      </c>
      <c r="O36" s="4"/>
    </row>
    <row r="37" spans="1:15" x14ac:dyDescent="0.35">
      <c r="A37" s="7">
        <v>36</v>
      </c>
      <c r="B37" s="8" t="s">
        <v>77</v>
      </c>
      <c r="C37" s="8" t="s">
        <v>78</v>
      </c>
      <c r="D37" s="7" t="s">
        <v>17</v>
      </c>
      <c r="E37" s="9">
        <v>30</v>
      </c>
      <c r="F37" s="9">
        <f t="shared" si="1"/>
        <v>4.2</v>
      </c>
      <c r="G37" s="10">
        <v>4728</v>
      </c>
      <c r="H37" s="10">
        <v>172</v>
      </c>
      <c r="I37" s="10">
        <v>453</v>
      </c>
      <c r="J37" s="10">
        <v>458</v>
      </c>
      <c r="K37" s="10">
        <v>908</v>
      </c>
      <c r="L37" s="10">
        <v>900</v>
      </c>
      <c r="M37" s="10">
        <v>1180</v>
      </c>
      <c r="N37" s="10">
        <v>657</v>
      </c>
      <c r="O37" s="8" t="s">
        <v>79</v>
      </c>
    </row>
    <row r="38" spans="1:15" x14ac:dyDescent="0.35">
      <c r="A38" s="3">
        <v>37</v>
      </c>
      <c r="B38" s="4" t="s">
        <v>80</v>
      </c>
      <c r="C38" s="4" t="s">
        <v>81</v>
      </c>
      <c r="D38" s="3" t="s">
        <v>24</v>
      </c>
      <c r="E38" s="5">
        <v>29.3</v>
      </c>
      <c r="F38" s="5">
        <f t="shared" si="1"/>
        <v>4.1230000000000002</v>
      </c>
      <c r="G38" s="6">
        <v>7090</v>
      </c>
      <c r="H38" s="6">
        <v>621</v>
      </c>
      <c r="I38" s="6">
        <v>2782</v>
      </c>
      <c r="J38" s="6">
        <v>1262</v>
      </c>
      <c r="K38" s="6">
        <v>452</v>
      </c>
      <c r="L38" s="6">
        <v>397</v>
      </c>
      <c r="M38" s="6">
        <v>1036</v>
      </c>
      <c r="N38" s="6">
        <v>540</v>
      </c>
      <c r="O38" s="4"/>
    </row>
    <row r="39" spans="1:15" x14ac:dyDescent="0.35">
      <c r="A39" s="7">
        <v>38</v>
      </c>
      <c r="B39" s="8" t="s">
        <v>82</v>
      </c>
      <c r="C39" s="8" t="s">
        <v>83</v>
      </c>
      <c r="D39" s="7" t="s">
        <v>17</v>
      </c>
      <c r="E39" s="9">
        <v>28</v>
      </c>
      <c r="F39" s="9">
        <f t="shared" si="1"/>
        <v>3.98</v>
      </c>
      <c r="G39" s="10">
        <v>598</v>
      </c>
      <c r="H39" s="10">
        <v>329</v>
      </c>
      <c r="I39" s="10">
        <v>269</v>
      </c>
      <c r="J39" s="7"/>
      <c r="K39" s="7"/>
      <c r="L39" s="7"/>
      <c r="M39" s="7"/>
      <c r="N39" s="7"/>
      <c r="O39" s="8"/>
    </row>
    <row r="40" spans="1:15" x14ac:dyDescent="0.35">
      <c r="A40" s="3">
        <v>39</v>
      </c>
      <c r="B40" s="4" t="s">
        <v>84</v>
      </c>
      <c r="C40" s="4" t="s">
        <v>85</v>
      </c>
      <c r="D40" s="3" t="s">
        <v>33</v>
      </c>
      <c r="E40" s="5">
        <v>24</v>
      </c>
      <c r="F40" s="5">
        <f t="shared" si="1"/>
        <v>3.54</v>
      </c>
      <c r="G40" s="6">
        <v>3029</v>
      </c>
      <c r="H40" s="6">
        <v>987</v>
      </c>
      <c r="I40" s="6">
        <v>2042</v>
      </c>
      <c r="J40" s="3"/>
      <c r="K40" s="3"/>
      <c r="L40" s="3"/>
      <c r="M40" s="3"/>
      <c r="N40" s="3"/>
      <c r="O40" s="4"/>
    </row>
    <row r="41" spans="1:15" x14ac:dyDescent="0.35">
      <c r="A41" s="7">
        <v>40</v>
      </c>
      <c r="B41" s="8" t="s">
        <v>26</v>
      </c>
      <c r="C41" s="8" t="s">
        <v>86</v>
      </c>
      <c r="D41" s="7" t="s">
        <v>24</v>
      </c>
      <c r="E41" s="9">
        <v>22</v>
      </c>
      <c r="F41" s="9">
        <f t="shared" si="1"/>
        <v>3.32</v>
      </c>
      <c r="G41" s="10">
        <v>8280</v>
      </c>
      <c r="H41" s="10">
        <v>478</v>
      </c>
      <c r="I41" s="10">
        <v>1466</v>
      </c>
      <c r="J41" s="10">
        <v>579</v>
      </c>
      <c r="K41" s="10">
        <v>843</v>
      </c>
      <c r="L41" s="10">
        <v>1934</v>
      </c>
      <c r="M41" s="10">
        <v>2571</v>
      </c>
      <c r="N41" s="10">
        <v>409</v>
      </c>
      <c r="O41" s="8"/>
    </row>
    <row r="42" spans="1:15" x14ac:dyDescent="0.35">
      <c r="A42" s="3">
        <v>41</v>
      </c>
      <c r="B42" s="4" t="s">
        <v>22</v>
      </c>
      <c r="C42" s="4" t="s">
        <v>87</v>
      </c>
      <c r="D42" s="3" t="s">
        <v>33</v>
      </c>
      <c r="E42" s="5">
        <v>20</v>
      </c>
      <c r="F42" s="5">
        <f t="shared" si="1"/>
        <v>3.1</v>
      </c>
      <c r="G42" s="6">
        <v>1154</v>
      </c>
      <c r="H42" s="3"/>
      <c r="I42" s="3"/>
      <c r="J42" s="6">
        <v>784</v>
      </c>
      <c r="K42" s="6">
        <v>370</v>
      </c>
      <c r="L42" s="3"/>
      <c r="M42" s="3"/>
      <c r="N42" s="3"/>
      <c r="O42" s="4"/>
    </row>
    <row r="43" spans="1:15" x14ac:dyDescent="0.35">
      <c r="A43" s="7">
        <v>42</v>
      </c>
      <c r="B43" s="8" t="s">
        <v>52</v>
      </c>
      <c r="C43" s="8" t="s">
        <v>88</v>
      </c>
      <c r="D43" s="7" t="s">
        <v>24</v>
      </c>
      <c r="E43" s="9">
        <v>19.5</v>
      </c>
      <c r="F43" s="9">
        <f t="shared" si="1"/>
        <v>3.0449999999999999</v>
      </c>
      <c r="G43" s="10">
        <v>20712</v>
      </c>
      <c r="H43" s="10">
        <v>1143</v>
      </c>
      <c r="I43" s="10">
        <v>3772</v>
      </c>
      <c r="J43" s="10">
        <v>2194</v>
      </c>
      <c r="K43" s="10">
        <v>2174</v>
      </c>
      <c r="L43" s="10">
        <v>2057</v>
      </c>
      <c r="M43" s="10">
        <v>5815</v>
      </c>
      <c r="N43" s="10">
        <v>3557</v>
      </c>
      <c r="O43" s="8" t="s">
        <v>89</v>
      </c>
    </row>
    <row r="44" spans="1:15" x14ac:dyDescent="0.35">
      <c r="A44" s="3">
        <v>43</v>
      </c>
      <c r="B44" s="4" t="s">
        <v>52</v>
      </c>
      <c r="C44" s="4" t="s">
        <v>90</v>
      </c>
      <c r="D44" s="3" t="s">
        <v>24</v>
      </c>
      <c r="E44" s="5">
        <v>19.5</v>
      </c>
      <c r="F44" s="5">
        <f t="shared" si="1"/>
        <v>3.0449999999999999</v>
      </c>
      <c r="G44" s="6">
        <v>33992</v>
      </c>
      <c r="H44" s="6">
        <v>3344</v>
      </c>
      <c r="I44" s="6">
        <v>9354</v>
      </c>
      <c r="J44" s="6">
        <v>7416</v>
      </c>
      <c r="K44" s="6">
        <v>7206</v>
      </c>
      <c r="L44" s="6">
        <v>6052</v>
      </c>
      <c r="M44" s="6">
        <v>620</v>
      </c>
      <c r="N44" s="3"/>
      <c r="O44" s="4" t="s">
        <v>91</v>
      </c>
    </row>
    <row r="45" spans="1:15" x14ac:dyDescent="0.35">
      <c r="A45" s="7">
        <v>44</v>
      </c>
      <c r="B45" s="8" t="s">
        <v>92</v>
      </c>
      <c r="C45" s="8" t="s">
        <v>93</v>
      </c>
      <c r="D45" s="7" t="s">
        <v>33</v>
      </c>
      <c r="E45" s="9">
        <v>18</v>
      </c>
      <c r="F45" s="9">
        <f t="shared" si="1"/>
        <v>2.88</v>
      </c>
      <c r="G45" s="10">
        <v>9278</v>
      </c>
      <c r="H45" s="10">
        <v>1658</v>
      </c>
      <c r="I45" s="10">
        <v>4842</v>
      </c>
      <c r="J45" s="10">
        <v>2778</v>
      </c>
      <c r="K45" s="7"/>
      <c r="L45" s="7"/>
      <c r="M45" s="7"/>
      <c r="N45" s="7"/>
      <c r="O45" s="8"/>
    </row>
    <row r="46" spans="1:15" x14ac:dyDescent="0.35">
      <c r="A46" s="3">
        <v>45</v>
      </c>
      <c r="B46" s="4" t="s">
        <v>35</v>
      </c>
      <c r="C46" s="4" t="s">
        <v>94</v>
      </c>
      <c r="D46" s="3" t="s">
        <v>33</v>
      </c>
      <c r="E46" s="5">
        <v>16</v>
      </c>
      <c r="F46" s="5">
        <f t="shared" si="1"/>
        <v>2.66</v>
      </c>
      <c r="G46" s="6">
        <v>406</v>
      </c>
      <c r="H46" s="6">
        <v>197</v>
      </c>
      <c r="I46" s="6">
        <v>209</v>
      </c>
      <c r="J46" s="3"/>
      <c r="K46" s="3"/>
      <c r="L46" s="3"/>
      <c r="M46" s="3"/>
      <c r="N46" s="3"/>
      <c r="O46" s="4"/>
    </row>
    <row r="47" spans="1:15" x14ac:dyDescent="0.35">
      <c r="A47" s="7">
        <v>46</v>
      </c>
      <c r="B47" s="8" t="s">
        <v>95</v>
      </c>
      <c r="C47" s="8" t="s">
        <v>96</v>
      </c>
      <c r="D47" s="7" t="s">
        <v>33</v>
      </c>
      <c r="E47" s="9">
        <v>16</v>
      </c>
      <c r="F47" s="9">
        <f t="shared" si="1"/>
        <v>2.66</v>
      </c>
      <c r="G47" s="10">
        <v>2893</v>
      </c>
      <c r="H47" s="10">
        <v>119</v>
      </c>
      <c r="I47" s="10">
        <v>759</v>
      </c>
      <c r="J47" s="10">
        <v>2015</v>
      </c>
      <c r="K47" s="7"/>
      <c r="L47" s="7"/>
      <c r="M47" s="7"/>
      <c r="N47" s="7"/>
      <c r="O47" s="8"/>
    </row>
    <row r="48" spans="1:15" x14ac:dyDescent="0.35">
      <c r="A48" s="3">
        <v>47</v>
      </c>
      <c r="B48" s="4" t="s">
        <v>26</v>
      </c>
      <c r="C48" s="4" t="s">
        <v>97</v>
      </c>
      <c r="D48" s="3" t="s">
        <v>33</v>
      </c>
      <c r="E48" s="5">
        <v>15</v>
      </c>
      <c r="F48" s="5">
        <f t="shared" si="1"/>
        <v>2.5499999999999998</v>
      </c>
      <c r="G48" s="6">
        <v>6638</v>
      </c>
      <c r="H48" s="3"/>
      <c r="I48" s="6">
        <v>1040</v>
      </c>
      <c r="J48" s="6">
        <v>1286</v>
      </c>
      <c r="K48" s="6">
        <v>2362</v>
      </c>
      <c r="L48" s="6">
        <v>1783</v>
      </c>
      <c r="M48" s="6">
        <v>167</v>
      </c>
      <c r="N48" s="3"/>
      <c r="O48" s="4"/>
    </row>
    <row r="49" spans="1:15" x14ac:dyDescent="0.35">
      <c r="A49" s="7">
        <v>48</v>
      </c>
      <c r="B49" s="8" t="s">
        <v>68</v>
      </c>
      <c r="C49" s="8" t="s">
        <v>98</v>
      </c>
      <c r="D49" s="7" t="s">
        <v>33</v>
      </c>
      <c r="E49" s="9">
        <v>14</v>
      </c>
      <c r="F49" s="9">
        <f t="shared" si="1"/>
        <v>2.44</v>
      </c>
      <c r="G49" s="10">
        <v>342</v>
      </c>
      <c r="H49" s="7"/>
      <c r="I49" s="7"/>
      <c r="J49" s="7"/>
      <c r="K49" s="10">
        <v>57</v>
      </c>
      <c r="L49" s="10">
        <v>130</v>
      </c>
      <c r="M49" s="7"/>
      <c r="N49" s="10">
        <v>155</v>
      </c>
      <c r="O49" s="8"/>
    </row>
    <row r="50" spans="1:15" x14ac:dyDescent="0.35">
      <c r="A50" s="3">
        <v>49</v>
      </c>
      <c r="B50" s="4" t="s">
        <v>99</v>
      </c>
      <c r="C50" s="4" t="s">
        <v>100</v>
      </c>
      <c r="D50" s="3" t="s">
        <v>33</v>
      </c>
      <c r="E50" s="5">
        <v>13</v>
      </c>
      <c r="F50" s="5">
        <f t="shared" si="1"/>
        <v>2.33</v>
      </c>
      <c r="G50" s="6">
        <v>1636</v>
      </c>
      <c r="H50" s="6">
        <v>5</v>
      </c>
      <c r="I50" s="6">
        <v>413</v>
      </c>
      <c r="J50" s="6">
        <v>664</v>
      </c>
      <c r="K50" s="6">
        <v>417</v>
      </c>
      <c r="L50" s="6">
        <v>137</v>
      </c>
      <c r="M50" s="3"/>
      <c r="N50" s="3"/>
      <c r="O50" s="4" t="s">
        <v>101</v>
      </c>
    </row>
    <row r="51" spans="1:15" x14ac:dyDescent="0.35">
      <c r="A51" s="7">
        <v>50</v>
      </c>
      <c r="B51" s="8" t="s">
        <v>35</v>
      </c>
      <c r="C51" s="8" t="s">
        <v>102</v>
      </c>
      <c r="D51" s="7" t="s">
        <v>33</v>
      </c>
      <c r="E51" s="9">
        <v>12</v>
      </c>
      <c r="F51" s="9">
        <f t="shared" si="1"/>
        <v>2.2200000000000002</v>
      </c>
      <c r="G51" s="10">
        <v>34038</v>
      </c>
      <c r="H51" s="7"/>
      <c r="I51" s="10">
        <v>5436</v>
      </c>
      <c r="J51" s="10">
        <v>10657</v>
      </c>
      <c r="K51" s="10">
        <v>14230</v>
      </c>
      <c r="L51" s="10">
        <v>3715</v>
      </c>
      <c r="M51" s="7"/>
      <c r="N51" s="7"/>
      <c r="O51" s="8"/>
    </row>
    <row r="52" spans="1:15" x14ac:dyDescent="0.35">
      <c r="A52" s="3">
        <v>51</v>
      </c>
      <c r="B52" s="4" t="s">
        <v>103</v>
      </c>
      <c r="C52" s="4" t="s">
        <v>104</v>
      </c>
      <c r="D52" s="3" t="s">
        <v>24</v>
      </c>
      <c r="E52" s="5">
        <v>10</v>
      </c>
      <c r="F52" s="5">
        <f t="shared" si="1"/>
        <v>2</v>
      </c>
      <c r="G52" s="6">
        <v>107</v>
      </c>
      <c r="H52" s="3"/>
      <c r="I52" s="3"/>
      <c r="J52" s="3"/>
      <c r="K52" s="6">
        <v>7</v>
      </c>
      <c r="L52" s="6">
        <v>3</v>
      </c>
      <c r="M52" s="6">
        <v>53</v>
      </c>
      <c r="N52" s="6">
        <v>44</v>
      </c>
      <c r="O52" s="4"/>
    </row>
    <row r="53" spans="1:15" x14ac:dyDescent="0.35">
      <c r="A53" s="7">
        <v>52</v>
      </c>
      <c r="B53" s="8" t="s">
        <v>105</v>
      </c>
      <c r="C53" s="8" t="s">
        <v>106</v>
      </c>
      <c r="D53" s="7" t="s">
        <v>33</v>
      </c>
      <c r="E53" s="9">
        <v>10</v>
      </c>
      <c r="F53" s="9">
        <f t="shared" si="1"/>
        <v>2</v>
      </c>
      <c r="G53" s="10">
        <v>3922</v>
      </c>
      <c r="H53" s="7"/>
      <c r="I53" s="7"/>
      <c r="J53" s="10">
        <v>774</v>
      </c>
      <c r="K53" s="10">
        <v>1779</v>
      </c>
      <c r="L53" s="10">
        <v>1331</v>
      </c>
      <c r="M53" s="10">
        <v>38</v>
      </c>
      <c r="N53" s="7"/>
      <c r="O53" s="8"/>
    </row>
    <row r="54" spans="1:15" x14ac:dyDescent="0.35">
      <c r="A54" s="3">
        <v>53</v>
      </c>
      <c r="B54" s="4" t="s">
        <v>107</v>
      </c>
      <c r="C54" s="4" t="s">
        <v>108</v>
      </c>
      <c r="D54" s="3" t="s">
        <v>33</v>
      </c>
      <c r="E54" s="5">
        <v>9</v>
      </c>
      <c r="F54" s="5">
        <f t="shared" si="1"/>
        <v>1.8900000000000001</v>
      </c>
      <c r="G54" s="6">
        <v>20045</v>
      </c>
      <c r="H54" s="3"/>
      <c r="I54" s="6">
        <v>1501</v>
      </c>
      <c r="J54" s="6">
        <v>4445</v>
      </c>
      <c r="K54" s="6">
        <v>7111</v>
      </c>
      <c r="L54" s="6">
        <v>6826</v>
      </c>
      <c r="M54" s="6">
        <v>162</v>
      </c>
      <c r="N54" s="3"/>
      <c r="O54" s="4"/>
    </row>
    <row r="55" spans="1:15" x14ac:dyDescent="0.35">
      <c r="A55" s="7">
        <v>54</v>
      </c>
      <c r="B55" s="8" t="s">
        <v>109</v>
      </c>
      <c r="C55" s="8" t="s">
        <v>110</v>
      </c>
      <c r="D55" s="7" t="s">
        <v>111</v>
      </c>
      <c r="E55" s="9">
        <v>8.3000000000000007</v>
      </c>
      <c r="F55" s="9">
        <f t="shared" si="1"/>
        <v>1.8130000000000002</v>
      </c>
      <c r="G55" s="10">
        <v>1435</v>
      </c>
      <c r="H55" s="7"/>
      <c r="I55" s="7"/>
      <c r="J55" s="10">
        <v>317</v>
      </c>
      <c r="K55" s="10">
        <v>184</v>
      </c>
      <c r="L55" s="10">
        <v>228</v>
      </c>
      <c r="M55" s="10">
        <v>706</v>
      </c>
      <c r="N55" s="7"/>
      <c r="O55" s="8"/>
    </row>
    <row r="56" spans="1:15" x14ac:dyDescent="0.35">
      <c r="A56" s="3">
        <v>55</v>
      </c>
      <c r="B56" s="4" t="s">
        <v>112</v>
      </c>
      <c r="C56" s="4" t="s">
        <v>113</v>
      </c>
      <c r="D56" s="3" t="s">
        <v>33</v>
      </c>
      <c r="E56" s="5">
        <v>6</v>
      </c>
      <c r="F56" s="5">
        <f t="shared" si="1"/>
        <v>1.56</v>
      </c>
      <c r="G56" s="6">
        <v>443</v>
      </c>
      <c r="H56" s="3"/>
      <c r="I56" s="6">
        <v>402</v>
      </c>
      <c r="J56" s="6">
        <v>13</v>
      </c>
      <c r="K56" s="6">
        <v>28</v>
      </c>
      <c r="L56" s="3"/>
      <c r="M56" s="3"/>
      <c r="N56" s="3"/>
      <c r="O56" s="4"/>
    </row>
    <row r="57" spans="1:15" x14ac:dyDescent="0.35">
      <c r="A57" s="7">
        <v>56</v>
      </c>
      <c r="B57" s="8" t="s">
        <v>26</v>
      </c>
      <c r="C57" s="8" t="s">
        <v>114</v>
      </c>
      <c r="D57" s="7" t="s">
        <v>111</v>
      </c>
      <c r="E57" s="9">
        <v>5.4</v>
      </c>
      <c r="F57" s="9">
        <f t="shared" si="1"/>
        <v>1.4940000000000002</v>
      </c>
      <c r="G57" s="10">
        <v>1540</v>
      </c>
      <c r="H57" s="10">
        <v>2</v>
      </c>
      <c r="I57" s="10">
        <v>7</v>
      </c>
      <c r="J57" s="10">
        <v>43</v>
      </c>
      <c r="K57" s="10">
        <v>230</v>
      </c>
      <c r="L57" s="10">
        <v>449</v>
      </c>
      <c r="M57" s="10">
        <v>495</v>
      </c>
      <c r="N57" s="10">
        <v>314</v>
      </c>
      <c r="O57" s="8" t="s">
        <v>115</v>
      </c>
    </row>
    <row r="58" spans="1:15" x14ac:dyDescent="0.35">
      <c r="A58" s="3">
        <v>57</v>
      </c>
      <c r="B58" s="4" t="s">
        <v>44</v>
      </c>
      <c r="C58" s="4" t="s">
        <v>45</v>
      </c>
      <c r="D58" s="3" t="s">
        <v>33</v>
      </c>
      <c r="E58" s="5">
        <v>4.5</v>
      </c>
      <c r="F58" s="5">
        <f t="shared" si="1"/>
        <v>1.395</v>
      </c>
      <c r="G58" s="6">
        <v>1566</v>
      </c>
      <c r="H58" s="6">
        <v>453</v>
      </c>
      <c r="I58" s="6">
        <v>1102</v>
      </c>
      <c r="J58" s="6">
        <v>11</v>
      </c>
      <c r="K58" s="3"/>
      <c r="L58" s="3"/>
      <c r="M58" s="3"/>
      <c r="N58" s="3"/>
      <c r="O58" s="4" t="s">
        <v>46</v>
      </c>
    </row>
    <row r="59" spans="1:15" x14ac:dyDescent="0.35">
      <c r="A59" s="7">
        <v>58</v>
      </c>
      <c r="B59" s="8" t="s">
        <v>116</v>
      </c>
      <c r="C59" s="8" t="s">
        <v>117</v>
      </c>
      <c r="D59" s="7" t="s">
        <v>33</v>
      </c>
      <c r="E59" s="9">
        <v>4</v>
      </c>
      <c r="F59" s="9">
        <f t="shared" si="1"/>
        <v>1.34</v>
      </c>
      <c r="G59" s="10">
        <v>1233</v>
      </c>
      <c r="H59" s="7"/>
      <c r="I59" s="7"/>
      <c r="J59" s="10">
        <v>580</v>
      </c>
      <c r="K59" s="10">
        <v>621</v>
      </c>
      <c r="L59" s="10">
        <v>32</v>
      </c>
      <c r="M59" s="7"/>
      <c r="N59" s="7"/>
      <c r="O59" s="8"/>
    </row>
    <row r="60" spans="1:15" x14ac:dyDescent="0.35">
      <c r="A60" s="3">
        <v>59</v>
      </c>
      <c r="B60" s="4" t="s">
        <v>118</v>
      </c>
      <c r="C60" s="4">
        <v>5</v>
      </c>
      <c r="D60" s="3" t="s">
        <v>33</v>
      </c>
      <c r="E60" s="5">
        <v>3.1</v>
      </c>
      <c r="F60" s="5">
        <f t="shared" si="1"/>
        <v>1.2410000000000001</v>
      </c>
      <c r="G60" s="6">
        <v>98</v>
      </c>
      <c r="H60" s="3"/>
      <c r="I60" s="3"/>
      <c r="J60" s="3"/>
      <c r="K60" s="6">
        <v>98</v>
      </c>
      <c r="L60" s="3"/>
      <c r="M60" s="3"/>
      <c r="N60" s="3"/>
      <c r="O60" s="4"/>
    </row>
    <row r="61" spans="1:15" x14ac:dyDescent="0.35">
      <c r="A61" s="7">
        <v>60</v>
      </c>
      <c r="B61" s="8" t="s">
        <v>22</v>
      </c>
      <c r="C61" s="8" t="s">
        <v>119</v>
      </c>
      <c r="D61" s="7" t="s">
        <v>33</v>
      </c>
      <c r="E61" s="9">
        <v>3</v>
      </c>
      <c r="F61" s="9">
        <f t="shared" si="1"/>
        <v>1.23</v>
      </c>
      <c r="G61" s="10">
        <v>6530</v>
      </c>
      <c r="H61" s="10">
        <v>617</v>
      </c>
      <c r="I61" s="7"/>
      <c r="J61" s="10">
        <v>2027</v>
      </c>
      <c r="K61" s="10">
        <v>706</v>
      </c>
      <c r="L61" s="10">
        <v>35</v>
      </c>
      <c r="M61" s="10">
        <v>1681</v>
      </c>
      <c r="N61" s="10">
        <v>1464</v>
      </c>
      <c r="O61" s="8"/>
    </row>
    <row r="62" spans="1:15" x14ac:dyDescent="0.35">
      <c r="A62" s="11">
        <v>61</v>
      </c>
      <c r="B62" s="12" t="s">
        <v>120</v>
      </c>
      <c r="C62" s="12" t="s">
        <v>121</v>
      </c>
      <c r="D62" s="11" t="s">
        <v>33</v>
      </c>
      <c r="E62" s="13">
        <v>2.4</v>
      </c>
      <c r="F62" s="13">
        <f t="shared" si="1"/>
        <v>1.1640000000000001</v>
      </c>
      <c r="G62" s="14">
        <v>1703</v>
      </c>
      <c r="H62" s="15"/>
      <c r="I62" s="15"/>
      <c r="J62" s="15"/>
      <c r="K62" s="15"/>
      <c r="L62" s="15"/>
      <c r="M62" s="15"/>
      <c r="N62" s="15"/>
      <c r="O62" s="12"/>
    </row>
    <row r="63" spans="1:15" x14ac:dyDescent="0.35">
      <c r="A63" s="11">
        <v>62</v>
      </c>
      <c r="B63" s="12" t="s">
        <v>72</v>
      </c>
      <c r="C63" s="12">
        <v>3</v>
      </c>
      <c r="D63" s="11" t="s">
        <v>33</v>
      </c>
      <c r="E63" s="13">
        <v>0</v>
      </c>
      <c r="F63" s="13">
        <f t="shared" si="1"/>
        <v>0.9</v>
      </c>
      <c r="G63" s="14">
        <v>0</v>
      </c>
      <c r="H63" s="15"/>
      <c r="I63" s="15"/>
      <c r="J63" s="15"/>
      <c r="K63" s="15"/>
      <c r="L63" s="15"/>
      <c r="M63" s="15"/>
      <c r="N63" s="15"/>
      <c r="O63" s="12"/>
    </row>
    <row r="64" spans="1:15" x14ac:dyDescent="0.35">
      <c r="A64" s="3">
        <v>63</v>
      </c>
      <c r="B64" s="4" t="s">
        <v>52</v>
      </c>
      <c r="C64" s="4" t="s">
        <v>122</v>
      </c>
      <c r="D64" s="3" t="s">
        <v>24</v>
      </c>
      <c r="E64" s="5">
        <v>0</v>
      </c>
      <c r="F64" s="5">
        <f t="shared" si="1"/>
        <v>0.9</v>
      </c>
      <c r="G64" s="6">
        <v>21290</v>
      </c>
      <c r="H64" s="6">
        <v>182</v>
      </c>
      <c r="I64" s="6">
        <v>652</v>
      </c>
      <c r="J64" s="6">
        <v>3288</v>
      </c>
      <c r="K64" s="6">
        <v>3256</v>
      </c>
      <c r="L64" s="6">
        <v>3436</v>
      </c>
      <c r="M64" s="6">
        <v>5749</v>
      </c>
      <c r="N64" s="6">
        <v>4727</v>
      </c>
      <c r="O64" s="4" t="s">
        <v>123</v>
      </c>
    </row>
    <row r="65" spans="1:15" x14ac:dyDescent="0.35">
      <c r="A65" s="7">
        <v>64</v>
      </c>
      <c r="B65" s="8" t="s">
        <v>77</v>
      </c>
      <c r="C65" s="8" t="s">
        <v>124</v>
      </c>
      <c r="D65" s="7" t="s">
        <v>33</v>
      </c>
      <c r="E65" s="9">
        <v>0</v>
      </c>
      <c r="F65" s="9">
        <f t="shared" si="1"/>
        <v>0.9</v>
      </c>
      <c r="G65" s="10">
        <v>1302</v>
      </c>
      <c r="H65" s="10">
        <v>25</v>
      </c>
      <c r="I65" s="10">
        <v>649</v>
      </c>
      <c r="J65" s="10">
        <v>628</v>
      </c>
      <c r="K65" s="7"/>
      <c r="L65" s="7"/>
      <c r="M65" s="7"/>
      <c r="N65" s="7"/>
      <c r="O65" s="8" t="s">
        <v>125</v>
      </c>
    </row>
    <row r="66" spans="1:15" x14ac:dyDescent="0.35">
      <c r="A66" s="3">
        <v>65</v>
      </c>
      <c r="B66" s="4" t="s">
        <v>95</v>
      </c>
      <c r="C66" s="4" t="s">
        <v>126</v>
      </c>
      <c r="D66" s="3" t="s">
        <v>33</v>
      </c>
      <c r="E66" s="5">
        <v>0</v>
      </c>
      <c r="F66" s="5">
        <f t="shared" ref="F66:F97" si="2">IF(E66="","",0.11*E66+0.9)</f>
        <v>0.9</v>
      </c>
      <c r="G66" s="6">
        <v>1300</v>
      </c>
      <c r="H66" s="6">
        <v>86</v>
      </c>
      <c r="I66" s="6">
        <v>595</v>
      </c>
      <c r="J66" s="6">
        <v>616</v>
      </c>
      <c r="K66" s="6">
        <v>3</v>
      </c>
      <c r="L66" s="3"/>
      <c r="M66" s="3"/>
      <c r="N66" s="3"/>
      <c r="O66" s="4"/>
    </row>
    <row r="67" spans="1:15" x14ac:dyDescent="0.35">
      <c r="A67" s="7">
        <v>66</v>
      </c>
      <c r="B67" s="8" t="s">
        <v>95</v>
      </c>
      <c r="C67" s="8" t="s">
        <v>127</v>
      </c>
      <c r="D67" s="7" t="s">
        <v>33</v>
      </c>
      <c r="E67" s="9">
        <v>0</v>
      </c>
      <c r="F67" s="9">
        <f t="shared" si="2"/>
        <v>0.9</v>
      </c>
      <c r="G67" s="10">
        <v>1285</v>
      </c>
      <c r="H67" s="10">
        <v>579</v>
      </c>
      <c r="I67" s="10">
        <v>706</v>
      </c>
      <c r="J67" s="7"/>
      <c r="K67" s="7"/>
      <c r="L67" s="7"/>
      <c r="M67" s="7"/>
      <c r="N67" s="7"/>
      <c r="O67" s="8"/>
    </row>
    <row r="68" spans="1:15" x14ac:dyDescent="0.35">
      <c r="A68" s="16" t="s">
        <v>128</v>
      </c>
      <c r="B68" s="17"/>
      <c r="C68" s="17"/>
      <c r="D68" s="17"/>
      <c r="E68" s="17"/>
      <c r="F68" s="17"/>
      <c r="G68" s="18">
        <f t="shared" ref="G68:N68" si="3">SUM(G2:G67)</f>
        <v>611417</v>
      </c>
      <c r="H68" s="18">
        <f t="shared" si="3"/>
        <v>47146</v>
      </c>
      <c r="I68" s="18">
        <f t="shared" si="3"/>
        <v>128193</v>
      </c>
      <c r="J68" s="18">
        <f t="shared" si="3"/>
        <v>101809</v>
      </c>
      <c r="K68" s="18">
        <f t="shared" si="3"/>
        <v>101170</v>
      </c>
      <c r="L68" s="18">
        <f t="shared" si="3"/>
        <v>78983</v>
      </c>
      <c r="M68" s="18">
        <f t="shared" si="3"/>
        <v>88463</v>
      </c>
      <c r="N68" s="18">
        <f t="shared" si="3"/>
        <v>62994</v>
      </c>
    </row>
    <row r="69" spans="1:15" x14ac:dyDescent="0.35">
      <c r="A69" s="19" t="s">
        <v>129</v>
      </c>
      <c r="B69" s="20"/>
      <c r="C69" s="20"/>
      <c r="D69" s="20"/>
      <c r="E69" s="20"/>
      <c r="F69" s="20"/>
      <c r="G69" s="21">
        <f t="shared" ref="G69:N69" si="4">SUMIF($F$2:$F$67,"&gt;"&amp;4,G2:G67)</f>
        <v>424622</v>
      </c>
      <c r="H69" s="21">
        <f t="shared" si="4"/>
        <v>36942</v>
      </c>
      <c r="I69" s="21">
        <f t="shared" si="4"/>
        <v>92977</v>
      </c>
      <c r="J69" s="21">
        <f t="shared" si="4"/>
        <v>60694</v>
      </c>
      <c r="K69" s="21">
        <f t="shared" si="4"/>
        <v>59488</v>
      </c>
      <c r="L69" s="21">
        <f t="shared" si="4"/>
        <v>50835</v>
      </c>
      <c r="M69" s="21">
        <f t="shared" si="4"/>
        <v>70406</v>
      </c>
      <c r="N69" s="21">
        <f t="shared" si="4"/>
        <v>52324</v>
      </c>
    </row>
    <row r="70" spans="1:15" x14ac:dyDescent="0.35">
      <c r="A70" s="22" t="s">
        <v>130</v>
      </c>
      <c r="B70" s="23"/>
      <c r="C70" s="23"/>
      <c r="D70" s="23"/>
      <c r="E70" s="23"/>
      <c r="F70" s="23"/>
      <c r="G70" s="24">
        <f t="shared" ref="G70:N70" si="5">0.08*G69</f>
        <v>33969.760000000002</v>
      </c>
      <c r="H70" s="24">
        <f t="shared" si="5"/>
        <v>2955.36</v>
      </c>
      <c r="I70" s="24">
        <f t="shared" si="5"/>
        <v>7438.16</v>
      </c>
      <c r="J70" s="24">
        <f t="shared" si="5"/>
        <v>4855.5200000000004</v>
      </c>
      <c r="K70" s="24">
        <f t="shared" si="5"/>
        <v>4759.04</v>
      </c>
      <c r="L70" s="24">
        <f t="shared" si="5"/>
        <v>4066.8</v>
      </c>
      <c r="M70" s="24">
        <f t="shared" si="5"/>
        <v>5632.4800000000005</v>
      </c>
      <c r="N70" s="24">
        <f t="shared" si="5"/>
        <v>4185.92</v>
      </c>
    </row>
    <row r="72" spans="1:15" x14ac:dyDescent="0.35">
      <c r="A72" s="25" t="s">
        <v>131</v>
      </c>
    </row>
    <row r="73" spans="1:15" x14ac:dyDescent="0.35">
      <c r="A73" s="26"/>
      <c r="B73" s="27" t="s">
        <v>132</v>
      </c>
    </row>
    <row r="74" spans="1:15" x14ac:dyDescent="0.35">
      <c r="B74" s="27" t="s">
        <v>133</v>
      </c>
    </row>
    <row r="75" spans="1:15" x14ac:dyDescent="0.35">
      <c r="B75" s="27" t="s">
        <v>134</v>
      </c>
    </row>
    <row r="76" spans="1:15" x14ac:dyDescent="0.35">
      <c r="B76" s="27" t="s">
        <v>135</v>
      </c>
    </row>
    <row r="77" spans="1:15" x14ac:dyDescent="0.35">
      <c r="B77" s="27" t="s">
        <v>136</v>
      </c>
    </row>
  </sheetData>
  <autoFilter ref="B1:O67" xr:uid="{00000000-0009-0000-0000-000000000000}"/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200FFED-4CC7-488A-A266-DEA796922D67}">
            <x14:iconSet custom="1">
              <x14:cfvo type="percent">
                <xm:f>0</xm:f>
              </x14:cfvo>
              <x14:cfvo type="num">
                <xm:f>4</xm:f>
              </x14:cfvo>
              <x14:cfvo type="num">
                <xm:f>7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F2:F67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workbookViewId="0">
      <pane xSplit="4" ySplit="1" topLeftCell="E4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4" customWidth="1"/>
    <col min="2" max="2" width="13" customWidth="1"/>
    <col min="3" max="3" width="24" customWidth="1"/>
    <col min="4" max="4" width="6" customWidth="1"/>
    <col min="5" max="8" width="10" customWidth="1"/>
    <col min="9" max="9" width="13" customWidth="1"/>
    <col min="10" max="10" width="4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137</v>
      </c>
      <c r="F1" s="2" t="s">
        <v>138</v>
      </c>
      <c r="G1" s="2" t="s">
        <v>139</v>
      </c>
      <c r="H1" s="2" t="s">
        <v>140</v>
      </c>
      <c r="I1" s="1" t="s">
        <v>141</v>
      </c>
      <c r="J1" s="1" t="s">
        <v>14</v>
      </c>
    </row>
    <row r="2" spans="1:10" x14ac:dyDescent="0.35">
      <c r="A2" s="3">
        <v>1</v>
      </c>
      <c r="B2" s="4" t="s">
        <v>15</v>
      </c>
      <c r="C2" s="4" t="s">
        <v>16</v>
      </c>
      <c r="D2" s="3" t="s">
        <v>17</v>
      </c>
      <c r="E2" s="6">
        <v>1095</v>
      </c>
      <c r="F2" s="6">
        <v>915</v>
      </c>
      <c r="G2" s="6">
        <v>521</v>
      </c>
      <c r="H2" s="6">
        <v>535</v>
      </c>
      <c r="I2" s="6">
        <f t="shared" ref="I2:I12" si="0">SUM(E2:H2)</f>
        <v>3066</v>
      </c>
      <c r="J2" s="4"/>
    </row>
    <row r="3" spans="1:10" x14ac:dyDescent="0.35">
      <c r="A3" s="7">
        <v>2</v>
      </c>
      <c r="B3" s="8" t="s">
        <v>18</v>
      </c>
      <c r="C3" s="8" t="s">
        <v>19</v>
      </c>
      <c r="D3" s="7" t="s">
        <v>17</v>
      </c>
      <c r="E3" s="10">
        <v>48</v>
      </c>
      <c r="F3" s="10">
        <v>31</v>
      </c>
      <c r="G3" s="10">
        <v>46</v>
      </c>
      <c r="H3" s="10">
        <v>53</v>
      </c>
      <c r="I3" s="10">
        <f t="shared" si="0"/>
        <v>178</v>
      </c>
      <c r="J3" s="8" t="s">
        <v>20</v>
      </c>
    </row>
    <row r="4" spans="1:10" x14ac:dyDescent="0.35">
      <c r="A4" s="3">
        <v>3</v>
      </c>
      <c r="B4" s="4" t="s">
        <v>21</v>
      </c>
      <c r="C4" s="4">
        <v>8</v>
      </c>
      <c r="D4" s="3" t="s">
        <v>17</v>
      </c>
      <c r="E4" s="6">
        <v>1349</v>
      </c>
      <c r="F4" s="6">
        <v>623</v>
      </c>
      <c r="G4" s="6">
        <v>733</v>
      </c>
      <c r="H4" s="6">
        <v>913</v>
      </c>
      <c r="I4" s="6">
        <f t="shared" si="0"/>
        <v>3618</v>
      </c>
      <c r="J4" s="4"/>
    </row>
    <row r="5" spans="1:10" x14ac:dyDescent="0.35">
      <c r="A5" s="7">
        <v>4</v>
      </c>
      <c r="B5" s="8" t="s">
        <v>22</v>
      </c>
      <c r="C5" s="8" t="s">
        <v>23</v>
      </c>
      <c r="D5" s="7" t="s">
        <v>24</v>
      </c>
      <c r="E5" s="10">
        <v>98</v>
      </c>
      <c r="F5" s="10">
        <v>44</v>
      </c>
      <c r="G5" s="10">
        <v>33</v>
      </c>
      <c r="H5" s="10">
        <v>30</v>
      </c>
      <c r="I5" s="10">
        <f t="shared" si="0"/>
        <v>205</v>
      </c>
      <c r="J5" s="8"/>
    </row>
    <row r="6" spans="1:10" x14ac:dyDescent="0.35">
      <c r="A6" s="3">
        <v>5</v>
      </c>
      <c r="B6" s="4" t="s">
        <v>25</v>
      </c>
      <c r="C6" s="4">
        <v>9</v>
      </c>
      <c r="D6" s="3" t="s">
        <v>17</v>
      </c>
      <c r="E6" s="6">
        <v>74</v>
      </c>
      <c r="F6" s="6">
        <v>57</v>
      </c>
      <c r="G6" s="6">
        <v>97</v>
      </c>
      <c r="H6" s="6">
        <v>256</v>
      </c>
      <c r="I6" s="6">
        <f t="shared" si="0"/>
        <v>484</v>
      </c>
      <c r="J6" s="4"/>
    </row>
    <row r="7" spans="1:10" x14ac:dyDescent="0.35">
      <c r="A7" s="7">
        <v>6</v>
      </c>
      <c r="B7" s="8" t="s">
        <v>26</v>
      </c>
      <c r="C7" s="8" t="s">
        <v>27</v>
      </c>
      <c r="D7" s="7" t="s">
        <v>24</v>
      </c>
      <c r="E7" s="10">
        <v>532</v>
      </c>
      <c r="F7" s="10">
        <v>171</v>
      </c>
      <c r="G7" s="10">
        <v>128</v>
      </c>
      <c r="H7" s="10">
        <v>114</v>
      </c>
      <c r="I7" s="10">
        <f t="shared" si="0"/>
        <v>945</v>
      </c>
      <c r="J7" s="8"/>
    </row>
    <row r="8" spans="1:10" x14ac:dyDescent="0.35">
      <c r="A8" s="3">
        <v>7</v>
      </c>
      <c r="B8" s="4" t="s">
        <v>25</v>
      </c>
      <c r="C8" s="4">
        <v>7</v>
      </c>
      <c r="D8" s="3" t="s">
        <v>17</v>
      </c>
      <c r="E8" s="6">
        <v>219</v>
      </c>
      <c r="F8" s="6">
        <v>182</v>
      </c>
      <c r="G8" s="6">
        <v>209</v>
      </c>
      <c r="H8" s="6">
        <v>390</v>
      </c>
      <c r="I8" s="6">
        <f t="shared" si="0"/>
        <v>1000</v>
      </c>
      <c r="J8" s="4"/>
    </row>
    <row r="9" spans="1:10" x14ac:dyDescent="0.35">
      <c r="A9" s="7">
        <v>8</v>
      </c>
      <c r="B9" s="8" t="s">
        <v>21</v>
      </c>
      <c r="C9" s="8" t="s">
        <v>28</v>
      </c>
      <c r="D9" s="7" t="s">
        <v>17</v>
      </c>
      <c r="E9" s="10">
        <v>2540</v>
      </c>
      <c r="F9" s="10">
        <v>1110</v>
      </c>
      <c r="G9" s="10">
        <v>1005</v>
      </c>
      <c r="H9" s="10">
        <v>658</v>
      </c>
      <c r="I9" s="10">
        <f t="shared" si="0"/>
        <v>5313</v>
      </c>
      <c r="J9" s="8"/>
    </row>
    <row r="10" spans="1:10" x14ac:dyDescent="0.35">
      <c r="A10" s="3">
        <v>9</v>
      </c>
      <c r="B10" s="4" t="s">
        <v>21</v>
      </c>
      <c r="C10" s="4">
        <v>5</v>
      </c>
      <c r="D10" s="3" t="s">
        <v>24</v>
      </c>
      <c r="E10" s="6">
        <v>244</v>
      </c>
      <c r="F10" s="6">
        <v>1623</v>
      </c>
      <c r="G10" s="6">
        <v>1689</v>
      </c>
      <c r="H10" s="6">
        <v>738</v>
      </c>
      <c r="I10" s="6">
        <f t="shared" si="0"/>
        <v>4294</v>
      </c>
      <c r="J10" s="4"/>
    </row>
    <row r="11" spans="1:10" x14ac:dyDescent="0.35">
      <c r="A11" s="7">
        <v>10</v>
      </c>
      <c r="B11" s="8" t="s">
        <v>22</v>
      </c>
      <c r="C11" s="8" t="s">
        <v>29</v>
      </c>
      <c r="D11" s="7" t="s">
        <v>17</v>
      </c>
      <c r="E11" s="10">
        <v>167</v>
      </c>
      <c r="F11" s="10">
        <v>87</v>
      </c>
      <c r="G11" s="10">
        <v>87</v>
      </c>
      <c r="H11" s="10">
        <v>50</v>
      </c>
      <c r="I11" s="10">
        <f t="shared" si="0"/>
        <v>391</v>
      </c>
      <c r="J11" s="8" t="s">
        <v>30</v>
      </c>
    </row>
    <row r="12" spans="1:10" x14ac:dyDescent="0.35">
      <c r="A12" s="3">
        <v>11</v>
      </c>
      <c r="B12" s="4" t="s">
        <v>31</v>
      </c>
      <c r="C12" s="4" t="s">
        <v>32</v>
      </c>
      <c r="D12" s="3" t="s">
        <v>33</v>
      </c>
      <c r="E12" s="3"/>
      <c r="F12" s="6">
        <v>117</v>
      </c>
      <c r="G12" s="6">
        <v>621</v>
      </c>
      <c r="H12" s="6">
        <v>28</v>
      </c>
      <c r="I12" s="6">
        <f t="shared" si="0"/>
        <v>766</v>
      </c>
      <c r="J12" s="4"/>
    </row>
    <row r="13" spans="1:10" x14ac:dyDescent="0.35">
      <c r="A13" s="7">
        <v>12</v>
      </c>
      <c r="B13" s="8" t="s">
        <v>26</v>
      </c>
      <c r="C13" s="8" t="s">
        <v>34</v>
      </c>
      <c r="D13" s="7" t="s">
        <v>24</v>
      </c>
      <c r="E13" s="7"/>
      <c r="F13" s="7"/>
      <c r="G13" s="7"/>
      <c r="H13" s="7"/>
      <c r="I13" s="7"/>
      <c r="J13" s="8"/>
    </row>
    <row r="14" spans="1:10" x14ac:dyDescent="0.35">
      <c r="A14" s="3">
        <v>13</v>
      </c>
      <c r="B14" s="4" t="s">
        <v>35</v>
      </c>
      <c r="C14" s="4" t="s">
        <v>36</v>
      </c>
      <c r="D14" s="3" t="s">
        <v>17</v>
      </c>
      <c r="E14" s="6">
        <v>1008</v>
      </c>
      <c r="F14" s="6">
        <v>309</v>
      </c>
      <c r="G14" s="6">
        <v>619</v>
      </c>
      <c r="H14" s="6">
        <v>687</v>
      </c>
      <c r="I14" s="6">
        <f>SUM(E14:H14)</f>
        <v>2623</v>
      </c>
      <c r="J14" s="4" t="s">
        <v>37</v>
      </c>
    </row>
    <row r="15" spans="1:10" x14ac:dyDescent="0.35">
      <c r="A15" s="7">
        <v>14</v>
      </c>
      <c r="B15" s="8" t="s">
        <v>38</v>
      </c>
      <c r="C15" s="8" t="s">
        <v>39</v>
      </c>
      <c r="D15" s="7" t="s">
        <v>17</v>
      </c>
      <c r="E15" s="10">
        <v>4</v>
      </c>
      <c r="F15" s="7"/>
      <c r="G15" s="10">
        <v>2</v>
      </c>
      <c r="H15" s="10">
        <v>1</v>
      </c>
      <c r="I15" s="10">
        <f>SUM(E15:H15)</f>
        <v>7</v>
      </c>
      <c r="J15" s="8" t="s">
        <v>40</v>
      </c>
    </row>
    <row r="16" spans="1:10" x14ac:dyDescent="0.35">
      <c r="A16" s="3">
        <v>15</v>
      </c>
      <c r="B16" s="4" t="s">
        <v>41</v>
      </c>
      <c r="C16" s="4" t="s">
        <v>42</v>
      </c>
      <c r="D16" s="3" t="s">
        <v>24</v>
      </c>
      <c r="E16" s="6">
        <v>72</v>
      </c>
      <c r="F16" s="6">
        <v>46</v>
      </c>
      <c r="G16" s="6">
        <v>44</v>
      </c>
      <c r="H16" s="6">
        <v>21</v>
      </c>
      <c r="I16" s="6">
        <f>SUM(E16:H16)</f>
        <v>183</v>
      </c>
      <c r="J16" s="4"/>
    </row>
    <row r="17" spans="1:10" x14ac:dyDescent="0.35">
      <c r="A17" s="7">
        <v>16</v>
      </c>
      <c r="B17" s="8" t="s">
        <v>41</v>
      </c>
      <c r="C17" s="8" t="s">
        <v>43</v>
      </c>
      <c r="D17" s="7" t="s">
        <v>24</v>
      </c>
      <c r="E17" s="10">
        <v>301</v>
      </c>
      <c r="F17" s="10">
        <v>98</v>
      </c>
      <c r="G17" s="10">
        <v>28</v>
      </c>
      <c r="H17" s="10">
        <v>7</v>
      </c>
      <c r="I17" s="10">
        <f>SUM(E17:H17)</f>
        <v>434</v>
      </c>
      <c r="J17" s="8"/>
    </row>
    <row r="18" spans="1:10" x14ac:dyDescent="0.35">
      <c r="A18" s="3">
        <v>17</v>
      </c>
      <c r="B18" s="4" t="s">
        <v>44</v>
      </c>
      <c r="C18" s="4" t="s">
        <v>45</v>
      </c>
      <c r="D18" s="3" t="s">
        <v>17</v>
      </c>
      <c r="E18" s="6">
        <v>289</v>
      </c>
      <c r="F18" s="6">
        <v>39</v>
      </c>
      <c r="G18" s="6">
        <v>46</v>
      </c>
      <c r="H18" s="6">
        <v>79</v>
      </c>
      <c r="I18" s="6">
        <f>SUM(E18:H18)</f>
        <v>453</v>
      </c>
      <c r="J18" s="4" t="s">
        <v>46</v>
      </c>
    </row>
    <row r="19" spans="1:10" x14ac:dyDescent="0.35">
      <c r="A19" s="7">
        <v>18</v>
      </c>
      <c r="B19" s="8" t="s">
        <v>47</v>
      </c>
      <c r="C19" s="8" t="s">
        <v>48</v>
      </c>
      <c r="D19" s="7" t="s">
        <v>33</v>
      </c>
      <c r="E19" s="7"/>
      <c r="F19" s="7"/>
      <c r="G19" s="7"/>
      <c r="H19" s="7"/>
      <c r="I19" s="7"/>
      <c r="J19" s="8"/>
    </row>
    <row r="20" spans="1:10" x14ac:dyDescent="0.35">
      <c r="A20" s="3">
        <v>19</v>
      </c>
      <c r="B20" s="4" t="s">
        <v>49</v>
      </c>
      <c r="C20" s="4" t="s">
        <v>50</v>
      </c>
      <c r="D20" s="3" t="s">
        <v>17</v>
      </c>
      <c r="E20" s="3"/>
      <c r="F20" s="3"/>
      <c r="G20" s="3"/>
      <c r="H20" s="3"/>
      <c r="I20" s="3"/>
      <c r="J20" s="4"/>
    </row>
    <row r="21" spans="1:10" x14ac:dyDescent="0.35">
      <c r="A21" s="7">
        <v>20</v>
      </c>
      <c r="B21" s="8" t="s">
        <v>49</v>
      </c>
      <c r="C21" s="8" t="s">
        <v>51</v>
      </c>
      <c r="D21" s="7" t="s">
        <v>17</v>
      </c>
      <c r="E21" s="7"/>
      <c r="F21" s="7"/>
      <c r="G21" s="7"/>
      <c r="H21" s="7"/>
      <c r="I21" s="7"/>
      <c r="J21" s="8"/>
    </row>
    <row r="22" spans="1:10" x14ac:dyDescent="0.35">
      <c r="A22" s="3">
        <v>21</v>
      </c>
      <c r="B22" s="4" t="s">
        <v>52</v>
      </c>
      <c r="C22" s="4" t="s">
        <v>53</v>
      </c>
      <c r="D22" s="3" t="s">
        <v>24</v>
      </c>
      <c r="E22" s="6">
        <v>78</v>
      </c>
      <c r="F22" s="6">
        <v>63</v>
      </c>
      <c r="G22" s="6">
        <v>30</v>
      </c>
      <c r="H22" s="6">
        <v>40</v>
      </c>
      <c r="I22" s="6">
        <f>SUM(E22:H22)</f>
        <v>211</v>
      </c>
      <c r="J22" s="4" t="s">
        <v>54</v>
      </c>
    </row>
    <row r="23" spans="1:10" x14ac:dyDescent="0.35">
      <c r="A23" s="11">
        <v>22</v>
      </c>
      <c r="B23" s="12" t="s">
        <v>55</v>
      </c>
      <c r="C23" s="12" t="s">
        <v>56</v>
      </c>
      <c r="D23" s="11" t="s">
        <v>33</v>
      </c>
      <c r="E23" s="11"/>
      <c r="F23" s="11"/>
      <c r="G23" s="11"/>
      <c r="H23" s="11"/>
      <c r="I23" s="11"/>
      <c r="J23" s="12"/>
    </row>
    <row r="24" spans="1:10" x14ac:dyDescent="0.35">
      <c r="A24" s="3">
        <v>23</v>
      </c>
      <c r="B24" s="4" t="s">
        <v>57</v>
      </c>
      <c r="C24" s="4" t="s">
        <v>58</v>
      </c>
      <c r="D24" s="3" t="s">
        <v>17</v>
      </c>
      <c r="E24" s="6">
        <v>733</v>
      </c>
      <c r="F24" s="6">
        <v>362</v>
      </c>
      <c r="G24" s="6">
        <v>269</v>
      </c>
      <c r="H24" s="6">
        <v>287</v>
      </c>
      <c r="I24" s="6">
        <f>SUM(E24:H24)</f>
        <v>1651</v>
      </c>
      <c r="J24" s="4"/>
    </row>
    <row r="25" spans="1:10" x14ac:dyDescent="0.35">
      <c r="A25" s="7">
        <v>24</v>
      </c>
      <c r="B25" s="8" t="s">
        <v>49</v>
      </c>
      <c r="C25" s="8" t="s">
        <v>59</v>
      </c>
      <c r="D25" s="7" t="s">
        <v>24</v>
      </c>
      <c r="E25" s="10">
        <v>756</v>
      </c>
      <c r="F25" s="10">
        <v>353</v>
      </c>
      <c r="G25" s="10">
        <v>334</v>
      </c>
      <c r="H25" s="10">
        <v>194</v>
      </c>
      <c r="I25" s="10">
        <f>SUM(E25:H25)</f>
        <v>1637</v>
      </c>
      <c r="J25" s="8"/>
    </row>
    <row r="26" spans="1:10" x14ac:dyDescent="0.35">
      <c r="A26" s="3">
        <v>25</v>
      </c>
      <c r="B26" s="4" t="s">
        <v>60</v>
      </c>
      <c r="C26" s="4" t="s">
        <v>61</v>
      </c>
      <c r="D26" s="3" t="s">
        <v>33</v>
      </c>
      <c r="E26" s="3"/>
      <c r="F26" s="3"/>
      <c r="G26" s="3"/>
      <c r="H26" s="3"/>
      <c r="I26" s="3"/>
      <c r="J26" s="4"/>
    </row>
    <row r="27" spans="1:10" x14ac:dyDescent="0.35">
      <c r="A27" s="7">
        <v>26</v>
      </c>
      <c r="B27" s="8" t="s">
        <v>52</v>
      </c>
      <c r="C27" s="8" t="s">
        <v>62</v>
      </c>
      <c r="D27" s="7" t="s">
        <v>24</v>
      </c>
      <c r="E27" s="10">
        <v>129</v>
      </c>
      <c r="F27" s="10">
        <v>84</v>
      </c>
      <c r="G27" s="10">
        <v>62</v>
      </c>
      <c r="H27" s="10">
        <v>59</v>
      </c>
      <c r="I27" s="10">
        <f>SUM(E27:H27)</f>
        <v>334</v>
      </c>
      <c r="J27" s="8" t="s">
        <v>63</v>
      </c>
    </row>
    <row r="28" spans="1:10" x14ac:dyDescent="0.35">
      <c r="A28" s="3">
        <v>27</v>
      </c>
      <c r="B28" s="4" t="s">
        <v>52</v>
      </c>
      <c r="C28" s="4" t="s">
        <v>64</v>
      </c>
      <c r="D28" s="3" t="s">
        <v>24</v>
      </c>
      <c r="E28" s="6">
        <v>631</v>
      </c>
      <c r="F28" s="6">
        <v>502</v>
      </c>
      <c r="G28" s="6">
        <v>317</v>
      </c>
      <c r="H28" s="6">
        <v>206</v>
      </c>
      <c r="I28" s="6">
        <f>SUM(E28:H28)</f>
        <v>1656</v>
      </c>
      <c r="J28" s="4" t="s">
        <v>65</v>
      </c>
    </row>
    <row r="29" spans="1:10" x14ac:dyDescent="0.35">
      <c r="A29" s="7">
        <v>28</v>
      </c>
      <c r="B29" s="8" t="s">
        <v>31</v>
      </c>
      <c r="C29" s="8" t="s">
        <v>66</v>
      </c>
      <c r="D29" s="7" t="s">
        <v>33</v>
      </c>
      <c r="E29" s="10">
        <v>1</v>
      </c>
      <c r="F29" s="10">
        <v>2</v>
      </c>
      <c r="G29" s="10">
        <v>1064</v>
      </c>
      <c r="H29" s="10">
        <v>1</v>
      </c>
      <c r="I29" s="10">
        <f>SUM(E29:H29)</f>
        <v>1068</v>
      </c>
      <c r="J29" s="8" t="s">
        <v>67</v>
      </c>
    </row>
    <row r="30" spans="1:10" x14ac:dyDescent="0.35">
      <c r="A30" s="3">
        <v>29</v>
      </c>
      <c r="B30" s="4" t="s">
        <v>68</v>
      </c>
      <c r="C30" s="4" t="s">
        <v>69</v>
      </c>
      <c r="D30" s="3" t="s">
        <v>17</v>
      </c>
      <c r="E30" s="6">
        <v>30</v>
      </c>
      <c r="F30" s="6">
        <v>54</v>
      </c>
      <c r="G30" s="6">
        <v>13</v>
      </c>
      <c r="H30" s="6">
        <v>9</v>
      </c>
      <c r="I30" s="6">
        <f>SUM(E30:H30)</f>
        <v>106</v>
      </c>
      <c r="J30" s="4" t="s">
        <v>70</v>
      </c>
    </row>
    <row r="31" spans="1:10" x14ac:dyDescent="0.35">
      <c r="A31" s="7">
        <v>30</v>
      </c>
      <c r="B31" s="8" t="s">
        <v>22</v>
      </c>
      <c r="C31" s="8" t="s">
        <v>71</v>
      </c>
      <c r="D31" s="7" t="s">
        <v>33</v>
      </c>
      <c r="E31" s="10">
        <v>6</v>
      </c>
      <c r="F31" s="10">
        <v>4</v>
      </c>
      <c r="G31" s="10">
        <v>23</v>
      </c>
      <c r="H31" s="10">
        <v>19</v>
      </c>
      <c r="I31" s="10">
        <f>SUM(E31:H31)</f>
        <v>52</v>
      </c>
      <c r="J31" s="8"/>
    </row>
    <row r="32" spans="1:10" x14ac:dyDescent="0.35">
      <c r="A32" s="3">
        <v>31</v>
      </c>
      <c r="B32" s="4" t="s">
        <v>72</v>
      </c>
      <c r="C32" s="4" t="s">
        <v>73</v>
      </c>
      <c r="D32" s="3" t="s">
        <v>33</v>
      </c>
      <c r="E32" s="3"/>
      <c r="F32" s="3"/>
      <c r="G32" s="3"/>
      <c r="H32" s="3"/>
      <c r="I32" s="3"/>
      <c r="J32" s="4"/>
    </row>
    <row r="33" spans="1:10" x14ac:dyDescent="0.35">
      <c r="A33" s="7">
        <v>32</v>
      </c>
      <c r="B33" s="8" t="s">
        <v>26</v>
      </c>
      <c r="C33" s="8" t="s">
        <v>74</v>
      </c>
      <c r="D33" s="7" t="s">
        <v>24</v>
      </c>
      <c r="E33" s="10">
        <v>2002</v>
      </c>
      <c r="F33" s="10">
        <v>1569</v>
      </c>
      <c r="G33" s="10">
        <v>764</v>
      </c>
      <c r="H33" s="10">
        <v>737</v>
      </c>
      <c r="I33" s="10">
        <f>SUM(E33:H33)</f>
        <v>5072</v>
      </c>
      <c r="J33" s="8"/>
    </row>
    <row r="34" spans="1:10" x14ac:dyDescent="0.35">
      <c r="A34" s="3">
        <v>33</v>
      </c>
      <c r="B34" s="4" t="s">
        <v>72</v>
      </c>
      <c r="C34" s="4" t="s">
        <v>75</v>
      </c>
      <c r="D34" s="3" t="s">
        <v>33</v>
      </c>
      <c r="E34" s="3"/>
      <c r="F34" s="3"/>
      <c r="G34" s="3"/>
      <c r="H34" s="3"/>
      <c r="I34" s="3"/>
      <c r="J34" s="4"/>
    </row>
    <row r="35" spans="1:10" x14ac:dyDescent="0.35">
      <c r="A35" s="7">
        <v>34</v>
      </c>
      <c r="B35" s="8" t="s">
        <v>26</v>
      </c>
      <c r="C35" s="8" t="s">
        <v>74</v>
      </c>
      <c r="D35" s="7" t="s">
        <v>33</v>
      </c>
      <c r="E35" s="7"/>
      <c r="F35" s="7"/>
      <c r="G35" s="7"/>
      <c r="H35" s="7"/>
      <c r="I35" s="7"/>
      <c r="J35" s="8"/>
    </row>
    <row r="36" spans="1:10" x14ac:dyDescent="0.35">
      <c r="A36" s="3">
        <v>35</v>
      </c>
      <c r="B36" s="4" t="s">
        <v>68</v>
      </c>
      <c r="C36" s="4" t="s">
        <v>76</v>
      </c>
      <c r="D36" s="3" t="s">
        <v>17</v>
      </c>
      <c r="E36" s="6">
        <v>38</v>
      </c>
      <c r="F36" s="6">
        <v>9</v>
      </c>
      <c r="G36" s="6">
        <v>12</v>
      </c>
      <c r="H36" s="6">
        <v>10</v>
      </c>
      <c r="I36" s="6">
        <f t="shared" ref="I36:I41" si="1">SUM(E36:H36)</f>
        <v>69</v>
      </c>
      <c r="J36" s="4"/>
    </row>
    <row r="37" spans="1:10" x14ac:dyDescent="0.35">
      <c r="A37" s="7">
        <v>36</v>
      </c>
      <c r="B37" s="8" t="s">
        <v>77</v>
      </c>
      <c r="C37" s="8" t="s">
        <v>78</v>
      </c>
      <c r="D37" s="7" t="s">
        <v>17</v>
      </c>
      <c r="E37" s="10">
        <v>77</v>
      </c>
      <c r="F37" s="10">
        <v>27</v>
      </c>
      <c r="G37" s="10">
        <v>24</v>
      </c>
      <c r="H37" s="10">
        <v>26</v>
      </c>
      <c r="I37" s="10">
        <f t="shared" si="1"/>
        <v>154</v>
      </c>
      <c r="J37" s="8" t="s">
        <v>79</v>
      </c>
    </row>
    <row r="38" spans="1:10" x14ac:dyDescent="0.35">
      <c r="A38" s="3">
        <v>37</v>
      </c>
      <c r="B38" s="4" t="s">
        <v>80</v>
      </c>
      <c r="C38" s="4" t="s">
        <v>81</v>
      </c>
      <c r="D38" s="3" t="s">
        <v>24</v>
      </c>
      <c r="E38" s="6">
        <v>134</v>
      </c>
      <c r="F38" s="6">
        <v>141</v>
      </c>
      <c r="G38" s="6">
        <v>289</v>
      </c>
      <c r="H38" s="6">
        <v>48</v>
      </c>
      <c r="I38" s="6">
        <f t="shared" si="1"/>
        <v>612</v>
      </c>
      <c r="J38" s="4"/>
    </row>
    <row r="39" spans="1:10" x14ac:dyDescent="0.35">
      <c r="A39" s="7">
        <v>38</v>
      </c>
      <c r="B39" s="8" t="s">
        <v>82</v>
      </c>
      <c r="C39" s="8" t="s">
        <v>83</v>
      </c>
      <c r="D39" s="7" t="s">
        <v>17</v>
      </c>
      <c r="E39" s="10">
        <v>177</v>
      </c>
      <c r="F39" s="10">
        <v>40</v>
      </c>
      <c r="G39" s="10">
        <v>67</v>
      </c>
      <c r="H39" s="10">
        <v>33</v>
      </c>
      <c r="I39" s="10">
        <f t="shared" si="1"/>
        <v>317</v>
      </c>
      <c r="J39" s="8"/>
    </row>
    <row r="40" spans="1:10" x14ac:dyDescent="0.35">
      <c r="A40" s="3">
        <v>39</v>
      </c>
      <c r="B40" s="4" t="s">
        <v>84</v>
      </c>
      <c r="C40" s="4" t="s">
        <v>85</v>
      </c>
      <c r="D40" s="3" t="s">
        <v>33</v>
      </c>
      <c r="E40" s="6">
        <v>342</v>
      </c>
      <c r="F40" s="6">
        <v>236</v>
      </c>
      <c r="G40" s="6">
        <v>174</v>
      </c>
      <c r="H40" s="6">
        <v>209</v>
      </c>
      <c r="I40" s="6">
        <f t="shared" si="1"/>
        <v>961</v>
      </c>
      <c r="J40" s="4"/>
    </row>
    <row r="41" spans="1:10" x14ac:dyDescent="0.35">
      <c r="A41" s="7">
        <v>40</v>
      </c>
      <c r="B41" s="8" t="s">
        <v>26</v>
      </c>
      <c r="C41" s="8" t="s">
        <v>86</v>
      </c>
      <c r="D41" s="7" t="s">
        <v>24</v>
      </c>
      <c r="E41" s="10">
        <v>271</v>
      </c>
      <c r="F41" s="10">
        <v>79</v>
      </c>
      <c r="G41" s="10">
        <v>68</v>
      </c>
      <c r="H41" s="10">
        <v>56</v>
      </c>
      <c r="I41" s="10">
        <f t="shared" si="1"/>
        <v>474</v>
      </c>
      <c r="J41" s="8"/>
    </row>
    <row r="42" spans="1:10" x14ac:dyDescent="0.35">
      <c r="A42" s="3">
        <v>41</v>
      </c>
      <c r="B42" s="4" t="s">
        <v>22</v>
      </c>
      <c r="C42" s="4" t="s">
        <v>87</v>
      </c>
      <c r="D42" s="3" t="s">
        <v>33</v>
      </c>
      <c r="E42" s="3"/>
      <c r="F42" s="3"/>
      <c r="G42" s="3"/>
      <c r="H42" s="3"/>
      <c r="I42" s="3"/>
      <c r="J42" s="4"/>
    </row>
    <row r="43" spans="1:10" x14ac:dyDescent="0.35">
      <c r="A43" s="7">
        <v>42</v>
      </c>
      <c r="B43" s="8" t="s">
        <v>52</v>
      </c>
      <c r="C43" s="8" t="s">
        <v>88</v>
      </c>
      <c r="D43" s="7" t="s">
        <v>24</v>
      </c>
      <c r="E43" s="10">
        <v>349</v>
      </c>
      <c r="F43" s="10">
        <v>251</v>
      </c>
      <c r="G43" s="10">
        <v>199</v>
      </c>
      <c r="H43" s="10">
        <v>166</v>
      </c>
      <c r="I43" s="10">
        <f>SUM(E43:H43)</f>
        <v>965</v>
      </c>
      <c r="J43" s="8" t="s">
        <v>89</v>
      </c>
    </row>
    <row r="44" spans="1:10" x14ac:dyDescent="0.35">
      <c r="A44" s="3">
        <v>43</v>
      </c>
      <c r="B44" s="4" t="s">
        <v>52</v>
      </c>
      <c r="C44" s="4" t="s">
        <v>90</v>
      </c>
      <c r="D44" s="3" t="s">
        <v>24</v>
      </c>
      <c r="E44" s="6">
        <v>1112</v>
      </c>
      <c r="F44" s="6">
        <v>748</v>
      </c>
      <c r="G44" s="6">
        <v>657</v>
      </c>
      <c r="H44" s="6">
        <v>542</v>
      </c>
      <c r="I44" s="6">
        <f>SUM(E44:H44)</f>
        <v>3059</v>
      </c>
      <c r="J44" s="4" t="s">
        <v>91</v>
      </c>
    </row>
    <row r="45" spans="1:10" x14ac:dyDescent="0.35">
      <c r="A45" s="7">
        <v>44</v>
      </c>
      <c r="B45" s="8" t="s">
        <v>92</v>
      </c>
      <c r="C45" s="8" t="s">
        <v>93</v>
      </c>
      <c r="D45" s="7" t="s">
        <v>33</v>
      </c>
      <c r="E45" s="10">
        <v>489</v>
      </c>
      <c r="F45" s="10">
        <v>496</v>
      </c>
      <c r="G45" s="10">
        <v>379</v>
      </c>
      <c r="H45" s="10">
        <v>294</v>
      </c>
      <c r="I45" s="10">
        <f>SUM(E45:H45)</f>
        <v>1658</v>
      </c>
      <c r="J45" s="8"/>
    </row>
    <row r="46" spans="1:10" x14ac:dyDescent="0.35">
      <c r="A46" s="3">
        <v>45</v>
      </c>
      <c r="B46" s="4" t="s">
        <v>35</v>
      </c>
      <c r="C46" s="4" t="s">
        <v>94</v>
      </c>
      <c r="D46" s="3" t="s">
        <v>33</v>
      </c>
      <c r="E46" s="6">
        <v>77</v>
      </c>
      <c r="F46" s="6">
        <v>42</v>
      </c>
      <c r="G46" s="6">
        <v>39</v>
      </c>
      <c r="H46" s="6">
        <v>34</v>
      </c>
      <c r="I46" s="6">
        <f>SUM(E46:H46)</f>
        <v>192</v>
      </c>
      <c r="J46" s="4"/>
    </row>
    <row r="47" spans="1:10" x14ac:dyDescent="0.35">
      <c r="A47" s="7">
        <v>46</v>
      </c>
      <c r="B47" s="8" t="s">
        <v>95</v>
      </c>
      <c r="C47" s="8" t="s">
        <v>96</v>
      </c>
      <c r="D47" s="7" t="s">
        <v>33</v>
      </c>
      <c r="E47" s="10">
        <v>47</v>
      </c>
      <c r="F47" s="10">
        <v>24</v>
      </c>
      <c r="G47" s="10">
        <v>16</v>
      </c>
      <c r="H47" s="10">
        <v>32</v>
      </c>
      <c r="I47" s="10">
        <f>SUM(E47:H47)</f>
        <v>119</v>
      </c>
      <c r="J47" s="8"/>
    </row>
    <row r="48" spans="1:10" x14ac:dyDescent="0.35">
      <c r="A48" s="3">
        <v>47</v>
      </c>
      <c r="B48" s="4" t="s">
        <v>26</v>
      </c>
      <c r="C48" s="4" t="s">
        <v>97</v>
      </c>
      <c r="D48" s="3" t="s">
        <v>33</v>
      </c>
      <c r="E48" s="3"/>
      <c r="F48" s="3"/>
      <c r="G48" s="3"/>
      <c r="H48" s="3"/>
      <c r="I48" s="3"/>
      <c r="J48" s="4"/>
    </row>
    <row r="49" spans="1:10" x14ac:dyDescent="0.35">
      <c r="A49" s="7">
        <v>48</v>
      </c>
      <c r="B49" s="8" t="s">
        <v>68</v>
      </c>
      <c r="C49" s="8" t="s">
        <v>98</v>
      </c>
      <c r="D49" s="7" t="s">
        <v>33</v>
      </c>
      <c r="E49" s="7"/>
      <c r="F49" s="7"/>
      <c r="G49" s="7"/>
      <c r="H49" s="7"/>
      <c r="I49" s="7"/>
      <c r="J49" s="8"/>
    </row>
    <row r="50" spans="1:10" x14ac:dyDescent="0.35">
      <c r="A50" s="3">
        <v>49</v>
      </c>
      <c r="B50" s="4" t="s">
        <v>99</v>
      </c>
      <c r="C50" s="4" t="s">
        <v>100</v>
      </c>
      <c r="D50" s="3" t="s">
        <v>33</v>
      </c>
      <c r="E50" s="6">
        <v>3</v>
      </c>
      <c r="F50" s="6">
        <v>1</v>
      </c>
      <c r="G50" s="6">
        <v>1</v>
      </c>
      <c r="H50" s="3"/>
      <c r="I50" s="6">
        <f>SUM(E50:H50)</f>
        <v>5</v>
      </c>
      <c r="J50" s="4" t="s">
        <v>101</v>
      </c>
    </row>
    <row r="51" spans="1:10" x14ac:dyDescent="0.35">
      <c r="A51" s="7">
        <v>50</v>
      </c>
      <c r="B51" s="8" t="s">
        <v>35</v>
      </c>
      <c r="C51" s="8" t="s">
        <v>102</v>
      </c>
      <c r="D51" s="7" t="s">
        <v>33</v>
      </c>
      <c r="E51" s="7"/>
      <c r="F51" s="7"/>
      <c r="G51" s="7"/>
      <c r="H51" s="7"/>
      <c r="I51" s="7"/>
      <c r="J51" s="8"/>
    </row>
    <row r="52" spans="1:10" x14ac:dyDescent="0.35">
      <c r="A52" s="3">
        <v>51</v>
      </c>
      <c r="B52" s="4" t="s">
        <v>103</v>
      </c>
      <c r="C52" s="4" t="s">
        <v>104</v>
      </c>
      <c r="D52" s="3" t="s">
        <v>24</v>
      </c>
      <c r="E52" s="3"/>
      <c r="F52" s="3"/>
      <c r="G52" s="3"/>
      <c r="H52" s="3"/>
      <c r="I52" s="3"/>
      <c r="J52" s="4"/>
    </row>
    <row r="53" spans="1:10" x14ac:dyDescent="0.35">
      <c r="A53" s="7">
        <v>52</v>
      </c>
      <c r="B53" s="8" t="s">
        <v>105</v>
      </c>
      <c r="C53" s="8" t="s">
        <v>106</v>
      </c>
      <c r="D53" s="7" t="s">
        <v>33</v>
      </c>
      <c r="E53" s="10">
        <v>1</v>
      </c>
      <c r="F53" s="10">
        <v>1</v>
      </c>
      <c r="G53" s="10">
        <v>2</v>
      </c>
      <c r="H53" s="7"/>
      <c r="I53" s="10">
        <f>SUM(E53:H53)</f>
        <v>4</v>
      </c>
      <c r="J53" s="8"/>
    </row>
    <row r="54" spans="1:10" x14ac:dyDescent="0.35">
      <c r="A54" s="3">
        <v>53</v>
      </c>
      <c r="B54" s="4" t="s">
        <v>107</v>
      </c>
      <c r="C54" s="4" t="s">
        <v>108</v>
      </c>
      <c r="D54" s="3" t="s">
        <v>33</v>
      </c>
      <c r="E54" s="3"/>
      <c r="F54" s="3"/>
      <c r="G54" s="3"/>
      <c r="H54" s="3"/>
      <c r="I54" s="3"/>
      <c r="J54" s="4"/>
    </row>
    <row r="55" spans="1:10" x14ac:dyDescent="0.35">
      <c r="A55" s="7">
        <v>54</v>
      </c>
      <c r="B55" s="8" t="s">
        <v>109</v>
      </c>
      <c r="C55" s="8" t="s">
        <v>110</v>
      </c>
      <c r="D55" s="7" t="s">
        <v>111</v>
      </c>
      <c r="E55" s="7"/>
      <c r="F55" s="7"/>
      <c r="G55" s="7"/>
      <c r="H55" s="7"/>
      <c r="I55" s="7"/>
      <c r="J55" s="8"/>
    </row>
    <row r="56" spans="1:10" x14ac:dyDescent="0.35">
      <c r="A56" s="3">
        <v>55</v>
      </c>
      <c r="B56" s="4" t="s">
        <v>112</v>
      </c>
      <c r="C56" s="4" t="s">
        <v>113</v>
      </c>
      <c r="D56" s="3" t="s">
        <v>33</v>
      </c>
      <c r="E56" s="3"/>
      <c r="F56" s="3"/>
      <c r="G56" s="3"/>
      <c r="H56" s="3"/>
      <c r="I56" s="3"/>
      <c r="J56" s="4"/>
    </row>
    <row r="57" spans="1:10" x14ac:dyDescent="0.35">
      <c r="A57" s="7">
        <v>56</v>
      </c>
      <c r="B57" s="8" t="s">
        <v>26</v>
      </c>
      <c r="C57" s="8" t="s">
        <v>114</v>
      </c>
      <c r="D57" s="7" t="s">
        <v>111</v>
      </c>
      <c r="E57" s="7"/>
      <c r="F57" s="10">
        <v>1</v>
      </c>
      <c r="G57" s="7"/>
      <c r="H57" s="10">
        <v>1</v>
      </c>
      <c r="I57" s="10">
        <f>SUM(E57:H57)</f>
        <v>2</v>
      </c>
      <c r="J57" s="8" t="s">
        <v>115</v>
      </c>
    </row>
    <row r="58" spans="1:10" x14ac:dyDescent="0.35">
      <c r="A58" s="3">
        <v>57</v>
      </c>
      <c r="B58" s="4" t="s">
        <v>44</v>
      </c>
      <c r="C58" s="4" t="s">
        <v>45</v>
      </c>
      <c r="D58" s="3" t="s">
        <v>33</v>
      </c>
      <c r="E58" s="6">
        <v>289</v>
      </c>
      <c r="F58" s="6">
        <v>39</v>
      </c>
      <c r="G58" s="6">
        <v>46</v>
      </c>
      <c r="H58" s="6">
        <v>79</v>
      </c>
      <c r="I58" s="6">
        <f>SUM(E58:H58)</f>
        <v>453</v>
      </c>
      <c r="J58" s="4" t="s">
        <v>46</v>
      </c>
    </row>
    <row r="59" spans="1:10" x14ac:dyDescent="0.35">
      <c r="A59" s="7">
        <v>58</v>
      </c>
      <c r="B59" s="8" t="s">
        <v>116</v>
      </c>
      <c r="C59" s="8" t="s">
        <v>117</v>
      </c>
      <c r="D59" s="7" t="s">
        <v>33</v>
      </c>
      <c r="E59" s="7"/>
      <c r="F59" s="7"/>
      <c r="G59" s="7"/>
      <c r="H59" s="7"/>
      <c r="I59" s="7"/>
      <c r="J59" s="8"/>
    </row>
    <row r="60" spans="1:10" x14ac:dyDescent="0.35">
      <c r="A60" s="3">
        <v>59</v>
      </c>
      <c r="B60" s="4" t="s">
        <v>118</v>
      </c>
      <c r="C60" s="4">
        <v>5</v>
      </c>
      <c r="D60" s="3" t="s">
        <v>33</v>
      </c>
      <c r="E60" s="3"/>
      <c r="F60" s="3"/>
      <c r="G60" s="3"/>
      <c r="H60" s="3"/>
      <c r="I60" s="3"/>
      <c r="J60" s="4"/>
    </row>
    <row r="61" spans="1:10" x14ac:dyDescent="0.35">
      <c r="A61" s="7">
        <v>60</v>
      </c>
      <c r="B61" s="8" t="s">
        <v>22</v>
      </c>
      <c r="C61" s="8" t="s">
        <v>119</v>
      </c>
      <c r="D61" s="7" t="s">
        <v>33</v>
      </c>
      <c r="E61" s="10">
        <v>245</v>
      </c>
      <c r="F61" s="10">
        <v>197</v>
      </c>
      <c r="G61" s="10">
        <v>111</v>
      </c>
      <c r="H61" s="10">
        <v>35</v>
      </c>
      <c r="I61" s="10">
        <f>SUM(E61:H61)</f>
        <v>588</v>
      </c>
      <c r="J61" s="8"/>
    </row>
    <row r="62" spans="1:10" x14ac:dyDescent="0.35">
      <c r="A62" s="11">
        <v>61</v>
      </c>
      <c r="B62" s="12" t="s">
        <v>120</v>
      </c>
      <c r="C62" s="12" t="s">
        <v>121</v>
      </c>
      <c r="D62" s="11" t="s">
        <v>33</v>
      </c>
      <c r="E62" s="11"/>
      <c r="F62" s="11"/>
      <c r="G62" s="11"/>
      <c r="H62" s="11"/>
      <c r="I62" s="11"/>
      <c r="J62" s="12"/>
    </row>
    <row r="63" spans="1:10" x14ac:dyDescent="0.35">
      <c r="A63" s="11">
        <v>62</v>
      </c>
      <c r="B63" s="12" t="s">
        <v>72</v>
      </c>
      <c r="C63" s="12">
        <v>3</v>
      </c>
      <c r="D63" s="11" t="s">
        <v>33</v>
      </c>
      <c r="E63" s="11"/>
      <c r="F63" s="11"/>
      <c r="G63" s="11"/>
      <c r="H63" s="11"/>
      <c r="I63" s="11"/>
      <c r="J63" s="12"/>
    </row>
    <row r="64" spans="1:10" x14ac:dyDescent="0.35">
      <c r="A64" s="3">
        <v>63</v>
      </c>
      <c r="B64" s="4" t="s">
        <v>52</v>
      </c>
      <c r="C64" s="4" t="s">
        <v>122</v>
      </c>
      <c r="D64" s="3" t="s">
        <v>24</v>
      </c>
      <c r="E64" s="3"/>
      <c r="F64" s="6">
        <v>16</v>
      </c>
      <c r="G64" s="6">
        <v>9</v>
      </c>
      <c r="H64" s="6">
        <v>8</v>
      </c>
      <c r="I64" s="6">
        <f>SUM(E64:H64)</f>
        <v>33</v>
      </c>
      <c r="J64" s="4" t="s">
        <v>123</v>
      </c>
    </row>
    <row r="65" spans="1:10" x14ac:dyDescent="0.35">
      <c r="A65" s="7">
        <v>64</v>
      </c>
      <c r="B65" s="8" t="s">
        <v>77</v>
      </c>
      <c r="C65" s="8" t="s">
        <v>124</v>
      </c>
      <c r="D65" s="7" t="s">
        <v>33</v>
      </c>
      <c r="E65" s="10">
        <v>2</v>
      </c>
      <c r="F65" s="10">
        <v>10</v>
      </c>
      <c r="G65" s="10">
        <v>6</v>
      </c>
      <c r="H65" s="10">
        <v>7</v>
      </c>
      <c r="I65" s="10">
        <f>SUM(E65:H65)</f>
        <v>25</v>
      </c>
      <c r="J65" s="8" t="s">
        <v>125</v>
      </c>
    </row>
    <row r="66" spans="1:10" x14ac:dyDescent="0.35">
      <c r="A66" s="3">
        <v>65</v>
      </c>
      <c r="B66" s="4" t="s">
        <v>95</v>
      </c>
      <c r="C66" s="4" t="s">
        <v>126</v>
      </c>
      <c r="D66" s="3" t="s">
        <v>33</v>
      </c>
      <c r="E66" s="6">
        <v>23</v>
      </c>
      <c r="F66" s="6">
        <v>22</v>
      </c>
      <c r="G66" s="6">
        <v>16</v>
      </c>
      <c r="H66" s="6">
        <v>22</v>
      </c>
      <c r="I66" s="6">
        <f>SUM(E66:H66)</f>
        <v>83</v>
      </c>
      <c r="J66" s="4"/>
    </row>
    <row r="67" spans="1:10" x14ac:dyDescent="0.35">
      <c r="A67" s="7">
        <v>66</v>
      </c>
      <c r="B67" s="8" t="s">
        <v>95</v>
      </c>
      <c r="C67" s="8" t="s">
        <v>127</v>
      </c>
      <c r="D67" s="7" t="s">
        <v>33</v>
      </c>
      <c r="E67" s="10">
        <v>180</v>
      </c>
      <c r="F67" s="10">
        <v>151</v>
      </c>
      <c r="G67" s="10">
        <v>117</v>
      </c>
      <c r="H67" s="10">
        <v>105</v>
      </c>
      <c r="I67" s="10">
        <f>SUM(E67:H67)</f>
        <v>553</v>
      </c>
      <c r="J67" s="8"/>
    </row>
    <row r="68" spans="1:10" x14ac:dyDescent="0.35">
      <c r="A68" s="28" t="s">
        <v>142</v>
      </c>
      <c r="E68" s="29">
        <f>SUM(E2:E67)</f>
        <v>16262</v>
      </c>
      <c r="F68" s="29">
        <f>SUM(F2:F67)</f>
        <v>10976</v>
      </c>
      <c r="G68" s="29">
        <f>SUM(G2:G67)</f>
        <v>11016</v>
      </c>
      <c r="H68" s="29">
        <f>SUM(H2:H67)</f>
        <v>7819</v>
      </c>
      <c r="I68" s="29">
        <f>SUM(I2:I67)</f>
        <v>46073</v>
      </c>
    </row>
    <row r="70" spans="1:10" x14ac:dyDescent="0.35">
      <c r="A70" s="25" t="s">
        <v>131</v>
      </c>
    </row>
    <row r="71" spans="1:10" x14ac:dyDescent="0.35">
      <c r="A71" s="26"/>
      <c r="B71" s="27" t="s">
        <v>132</v>
      </c>
    </row>
    <row r="73" spans="1:10" x14ac:dyDescent="0.35">
      <c r="B73" s="27" t="s">
        <v>136</v>
      </c>
    </row>
  </sheetData>
  <autoFilter ref="A1:J6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TAM by Year</vt:lpstr>
      <vt:lpstr>2026 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 Birger</cp:lastModifiedBy>
  <dcterms:created xsi:type="dcterms:W3CDTF">2026-05-26T08:44:17Z</dcterms:created>
  <dcterms:modified xsi:type="dcterms:W3CDTF">2026-05-26T08:49:40Z</dcterms:modified>
</cp:coreProperties>
</file>