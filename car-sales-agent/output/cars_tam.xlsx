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110" yWindow="0" windowWidth="19380" windowHeight="20970" tabRatio="600" firstSheet="0" activeTab="1" autoFilterDateGrouping="1"/>
  </bookViews>
  <sheets>
    <sheet xmlns:r="http://schemas.openxmlformats.org/officeDocument/2006/relationships" name="Simplified" sheetId="1" state="visible" r:id="rId1"/>
    <sheet xmlns:r="http://schemas.openxmlformats.org/officeDocument/2006/relationships" name="with car numbers" sheetId="2" state="visible" r:id="rId2"/>
    <sheet xmlns:r="http://schemas.openxmlformats.org/officeDocument/2006/relationships" name="Measurements After - DO NOT USE" sheetId="3" state="hidden" r:id="rId3"/>
  </sheets>
  <definedNames>
    <definedName name="_xlnm._FilterDatabase" localSheetId="2" hidden="1">'Measurements After - DO NOT USE'!$B$8:$Y$8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Aptos Narrow"/>
      <family val="2"/>
      <color theme="1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theme="0"/>
      <sz val="20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FFFFCC99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001F4E79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2" borderId="2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2" borderId="3" pivotButton="0" quotePrefix="0" xfId="1"/>
    <xf numFmtId="0" fontId="0" fillId="0" borderId="0" applyAlignment="1" pivotButton="0" quotePrefix="0" xfId="0">
      <alignment horizontal="center"/>
    </xf>
    <xf numFmtId="2" fontId="0" fillId="0" borderId="1" pivotButton="0" quotePrefix="0" xfId="0"/>
    <xf numFmtId="2" fontId="0" fillId="0" borderId="0" pivotButton="0" quotePrefix="0" xfId="0"/>
    <xf numFmtId="0" fontId="1" fillId="2" borderId="2" pivotButton="0" quotePrefix="0" xfId="1"/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10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horizontal="center" textRotation="90" wrapText="1"/>
    </xf>
    <xf numFmtId="0" fontId="0" fillId="3" borderId="4" applyAlignment="1" pivotButton="0" quotePrefix="0" xfId="0">
      <alignment horizontal="center"/>
    </xf>
    <xf numFmtId="0" fontId="0" fillId="4" borderId="5" applyAlignment="1" pivotButton="0" quotePrefix="0" xfId="0">
      <alignment horizontal="center"/>
    </xf>
    <xf numFmtId="0" fontId="3" fillId="5" borderId="0" pivotButton="0" quotePrefix="0" xfId="0"/>
    <xf numFmtId="0" fontId="2" fillId="5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49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wrapText="1"/>
    </xf>
    <xf numFmtId="164" fontId="0" fillId="0" borderId="1" pivotButton="0" quotePrefix="0" xfId="0"/>
    <xf numFmtId="164" fontId="0" fillId="0" borderId="5" pivotButton="0" quotePrefix="0" xfId="0"/>
    <xf numFmtId="164" fontId="0" fillId="0" borderId="0" applyAlignment="1" pivotButton="0" quotePrefix="0" xfId="0">
      <alignment horizontal="left"/>
    </xf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textRotation="90" wrapText="1"/>
    </xf>
    <xf numFmtId="0" fontId="0" fillId="4" borderId="6" applyAlignment="1" pivotButton="0" quotePrefix="0" xfId="0">
      <alignment horizontal="center"/>
    </xf>
    <xf numFmtId="0" fontId="0" fillId="4" borderId="7" applyAlignment="1" pivotButton="0" quotePrefix="0" xfId="0">
      <alignment horizontal="center"/>
    </xf>
    <xf numFmtId="0" fontId="0" fillId="4" borderId="8" applyAlignment="1" pivotButton="0" quotePrefix="0" xfId="0">
      <alignment horizontal="center"/>
    </xf>
    <xf numFmtId="0" fontId="4" fillId="0" borderId="9" applyAlignment="1" pivotButton="0" quotePrefix="0" xfId="0">
      <alignment horizontal="left"/>
    </xf>
    <xf numFmtId="0" fontId="6" fillId="6" borderId="0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3" fontId="7" fillId="0" borderId="0" applyAlignment="1" pivotButton="0" quotePrefix="0" xfId="0">
      <alignment horizontal="center" vertical="center"/>
    </xf>
    <xf numFmtId="0" fontId="0" fillId="4" borderId="10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</cellXfs>
  <cellStyles count="2">
    <cellStyle name="Normal" xfId="0" builtinId="0"/>
    <cellStyle name="Input" xfId="1" builtinId="20"/>
  </cellStyles>
  <dxfs count="19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numFmt numFmtId="164" formatCode="0.0"/>
      <fill>
        <patternFill patternType="solid">
          <fgColor theme="4" tint="0.5999938962981048"/>
          <bgColor theme="4" tint="0.5999938962981048"/>
        </patternFill>
      </fill>
      <alignment horizontal="left" vertical="bottom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"/>
      <fill>
        <patternFill patternType="solid">
          <fgColor theme="4" tint="0.5999938962981048"/>
          <bgColor theme="4" tint="0.5999938962981048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theme="4" tint="0.5999938962981048"/>
          <bgColor theme="4" tint="0.5999938962981048"/>
        </patternFill>
      </fill>
      <alignment horizontal="left" vertical="bottom"/>
      <border outline="0">
        <left style="thin">
          <color indexed="64"/>
        </left>
        <right/>
        <top style="thin">
          <color indexed="64"/>
        </top>
        <bottom style="thin">
          <color theme="0"/>
        </bottom>
      </border>
    </dxf>
    <dxf>
      <alignment horizontal="left" vertical="bottom"/>
    </dxf>
    <dxf>
      <fill>
        <patternFill patternType="solid">
          <fgColor theme="4" tint="0.5999938962981048"/>
          <bgColor theme="4" tint="0.5999938962981048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theme="0"/>
        </bottom>
      </border>
    </dxf>
    <dxf>
      <border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</dxf>
    <dxf>
      <numFmt numFmtId="164" formatCode="0.0"/>
      <fill>
        <patternFill patternType="solid">
          <fgColor theme="4" tint="0.5999938962981048"/>
          <bgColor theme="4" tint="0.5999938962981048"/>
        </patternFill>
      </fill>
      <alignment horizontal="left" vertical="bottom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"/>
      <fill>
        <patternFill patternType="solid">
          <fgColor theme="4" tint="0.5999938962981048"/>
          <bgColor theme="4" tint="0.5999938962981048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theme="4" tint="0.5999938962981048"/>
          <bgColor theme="4" tint="0.5999938962981048"/>
        </patternFill>
      </fill>
      <alignment horizontal="left" vertical="bottom"/>
      <border outline="0">
        <left style="thin">
          <color indexed="64"/>
        </left>
        <right/>
        <top style="thin">
          <color indexed="64"/>
        </top>
        <bottom style="thin">
          <color theme="0"/>
        </bottom>
      </border>
    </dxf>
    <dxf>
      <alignment horizontal="left" vertical="bottom"/>
    </dxf>
    <dxf>
      <fill>
        <patternFill patternType="solid">
          <fgColor theme="4" tint="0.5999938962981048"/>
          <bgColor theme="4" tint="0.5999938962981048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theme="0"/>
        </bottom>
      </border>
    </dxf>
    <dxf>
      <border outline="0">
        <bottom style="thin">
          <color indexed="64"/>
        </bottom>
      </border>
    </dxf>
    <dxf>
      <border>
        <bottom style="thin">
          <color indexed="64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CarSalesAgent</author>
  </authors>
  <commentList>
    <comment ref="H3" authorId="0" shapeId="0">
      <text>
        <t>Source: carzone.co.il, scraped 2026-05-14</t>
      </text>
    </comment>
    <comment ref="I3" authorId="0" shapeId="0">
      <text>
        <t>Source: carzone.co.il, scraped 2026-05-14</t>
      </text>
    </comment>
    <comment ref="J3" authorId="0" shapeId="0">
      <text>
        <t>Source: carzone.co.il, scraped 2026-05-14</t>
      </text>
    </comment>
    <comment ref="K3" authorId="0" shapeId="0">
      <text>
        <t>Source: carzone.co.il, scraped 2026-05-14</t>
      </text>
    </comment>
    <comment ref="H4" authorId="0" shapeId="0">
      <text>
        <t>Source: carzone.co.il, scraped 2026-05-14</t>
      </text>
    </comment>
    <comment ref="I4" authorId="0" shapeId="0">
      <text>
        <t>Source: carzone.co.il, scraped 2026-05-14</t>
      </text>
    </comment>
    <comment ref="J4" authorId="0" shapeId="0">
      <text>
        <t>Source: carzone.co.il, scraped 2026-05-14</t>
      </text>
    </comment>
    <comment ref="K4" authorId="0" shapeId="0">
      <text>
        <t>Source: carzone.co.il, scraped 2026-05-14</t>
      </text>
    </comment>
    <comment ref="L4" authorId="0" shapeId="0">
      <text>
        <t>Source: carzone.co.il, scraped 2026-05-14</t>
      </text>
    </comment>
    <comment ref="M4" authorId="0" shapeId="0">
      <text>
        <t>Source: carzone.co.il, scraped 2026-05-14</t>
      </text>
    </comment>
    <comment ref="N4" authorId="0" shapeId="0">
      <text>
        <t>Source: carzone.co.il, scraped 2026-05-14</t>
      </text>
    </comment>
    <comment ref="H5" authorId="0" shapeId="0">
      <text>
        <t>Source: carzone.co.il, scraped 2026-05-14</t>
      </text>
    </comment>
    <comment ref="I5" authorId="0" shapeId="0">
      <text>
        <t>Source: carzone.co.il, scraped 2026-05-14</t>
      </text>
    </comment>
    <comment ref="H6" authorId="0" shapeId="0">
      <text>
        <t>Source: carzone.co.il, scraped 2026-05-14</t>
      </text>
    </comment>
    <comment ref="I6" authorId="0" shapeId="0">
      <text>
        <t>Source: carzone.co.il, scraped 2026-05-14</t>
      </text>
    </comment>
    <comment ref="H7" authorId="0" shapeId="0">
      <text>
        <t>Source: carzone.co.il, scraped 2026-05-14</t>
      </text>
    </comment>
    <comment ref="I7" authorId="0" shapeId="0">
      <text>
        <t>Source: carzone.co.il, scraped 2026-05-14</t>
      </text>
    </comment>
    <comment ref="H8" authorId="0" shapeId="0">
      <text>
        <t>Source: carzone.co.il, scraped 2026-05-14</t>
      </text>
    </comment>
    <comment ref="I8" authorId="0" shapeId="0">
      <text>
        <t>Source: carzone.co.il, scraped 2026-05-14</t>
      </text>
    </comment>
    <comment ref="J8" authorId="0" shapeId="0">
      <text>
        <t>Source: carzone.co.il, scraped 2026-05-14</t>
      </text>
    </comment>
    <comment ref="K8" authorId="0" shapeId="0">
      <text>
        <t>Source: carzone.co.il, scraped 2026-05-14</t>
      </text>
    </comment>
    <comment ref="L8" authorId="0" shapeId="0">
      <text>
        <t>Source: carzone.co.il, scraped 2026-05-14</t>
      </text>
    </comment>
    <comment ref="M8" authorId="0" shapeId="0">
      <text>
        <t>Source: carzone.co.il, scraped 2026-05-14</t>
      </text>
    </comment>
    <comment ref="H9" authorId="0" shapeId="0">
      <text>
        <t>Source: carzone.co.il, scraped 2026-05-14</t>
      </text>
    </comment>
    <comment ref="I9" authorId="0" shapeId="0">
      <text>
        <t>Source: carzone.co.il, scraped 2026-05-14</t>
      </text>
    </comment>
    <comment ref="H10" authorId="0" shapeId="0">
      <text>
        <t>Source: carzone.co.il, scraped 2026-05-14</t>
      </text>
    </comment>
    <comment ref="I10" authorId="0" shapeId="0">
      <text>
        <t>Source: carzone.co.il, scraped 2026-05-14</t>
      </text>
    </comment>
    <comment ref="J10" authorId="0" shapeId="0">
      <text>
        <t>Source: carzone.co.il, scraped 2026-05-14</t>
      </text>
    </comment>
    <comment ref="H11" authorId="0" shapeId="0">
      <text>
        <t>Source: carzone.co.il, scraped 2026-05-14</t>
      </text>
    </comment>
    <comment ref="I11" authorId="0" shapeId="0">
      <text>
        <t>Source: carzone.co.il, scraped 2026-05-14</t>
      </text>
    </comment>
    <comment ref="H12" authorId="0" shapeId="0">
      <text>
        <t>Source: carzone.co.il, scraped 2026-05-14</t>
      </text>
    </comment>
    <comment ref="I12" authorId="0" shapeId="0">
      <text>
        <t>Source: carzone.co.il, scraped 2026-05-14</t>
      </text>
    </comment>
    <comment ref="H13" authorId="0" shapeId="0">
      <text>
        <t>Source: carzone.co.il, scraped 2026-05-14</t>
      </text>
    </comment>
    <comment ref="I13" authorId="0" shapeId="0">
      <text>
        <t>Source: carzone.co.il, scraped 2026-05-14</t>
      </text>
    </comment>
    <comment ref="J13" authorId="0" shapeId="0">
      <text>
        <t>Source: carzone.co.il, scraped 2026-05-14</t>
      </text>
    </comment>
    <comment ref="K13" authorId="0" shapeId="0">
      <text>
        <t>Source: carzone.co.il, scraped 2026-05-14</t>
      </text>
    </comment>
    <comment ref="L13" authorId="0" shapeId="0">
      <text>
        <t>Source: carzone.co.il, scraped 2026-05-14</t>
      </text>
    </comment>
    <comment ref="M13" authorId="0" shapeId="0">
      <text>
        <t>Source: carzone.co.il, scraped 2026-05-14</t>
      </text>
    </comment>
    <comment ref="K14" authorId="0" shapeId="0">
      <text>
        <t>Source: carzone.co.il, scraped 2026-05-14</t>
      </text>
    </comment>
    <comment ref="L14" authorId="0" shapeId="0">
      <text>
        <t>Source: carzone.co.il, scraped 2026-05-14</t>
      </text>
    </comment>
    <comment ref="M14" authorId="0" shapeId="0">
      <text>
        <t>Source: carzone.co.il, scraped 2026-05-14</t>
      </text>
    </comment>
    <comment ref="N14" authorId="0" shapeId="0">
      <text>
        <t>Source: carzone.co.il, scraped 2026-05-14</t>
      </text>
    </comment>
    <comment ref="H15" authorId="0" shapeId="0">
      <text>
        <t>Source: carzone.co.il, scraped 2026-05-14</t>
      </text>
    </comment>
    <comment ref="I15" authorId="0" shapeId="0">
      <text>
        <t>Source: carzone.co.il, scraped 2026-05-14</t>
      </text>
    </comment>
    <comment ref="J15" authorId="0" shapeId="0">
      <text>
        <t>Source: carzone.co.il, scraped 2026-05-14</t>
      </text>
    </comment>
    <comment ref="H16" authorId="0" shapeId="0">
      <text>
        <t>Source: carzone.co.il, scraped 2026-05-14</t>
      </text>
    </comment>
    <comment ref="I16" authorId="0" shapeId="0">
      <text>
        <t>Source: carzone.co.il, scraped 2026-05-14</t>
      </text>
    </comment>
    <comment ref="J16" authorId="0" shapeId="0">
      <text>
        <t>Source: carzone.co.il, scraped 2026-05-14</t>
      </text>
    </comment>
    <comment ref="K16" authorId="0" shapeId="0">
      <text>
        <t>Source: carzone.co.il, scraped 2026-05-14</t>
      </text>
    </comment>
    <comment ref="L16" authorId="0" shapeId="0">
      <text>
        <t>Source: carzone.co.il, scraped 2026-05-14</t>
      </text>
    </comment>
    <comment ref="M16" authorId="0" shapeId="0">
      <text>
        <t>Source: carzone.co.il, scraped 2026-05-14</t>
      </text>
    </comment>
    <comment ref="N16" authorId="0" shapeId="0">
      <text>
        <t>Source: carzone.co.il, scraped 2026-05-14</t>
      </text>
    </comment>
    <comment ref="H17" authorId="0" shapeId="0">
      <text>
        <t>Source: carzone.co.il, scraped 2026-05-14</t>
      </text>
    </comment>
    <comment ref="I17" authorId="0" shapeId="0">
      <text>
        <t>Source: carzone.co.il, scraped 2026-05-14</t>
      </text>
    </comment>
    <comment ref="J17" authorId="0" shapeId="0">
      <text>
        <t>Source: carzone.co.il, scraped 2026-05-14</t>
      </text>
    </comment>
    <comment ref="K17" authorId="0" shapeId="0">
      <text>
        <t>Source: carzone.co.il, scraped 2026-05-14</t>
      </text>
    </comment>
    <comment ref="L17" authorId="0" shapeId="0">
      <text>
        <t>Source: carzone.co.il, scraped 2026-05-14</t>
      </text>
    </comment>
    <comment ref="M17" authorId="0" shapeId="0">
      <text>
        <t>Source: carzone.co.il, scraped 2026-05-14</t>
      </text>
    </comment>
    <comment ref="N17" authorId="0" shapeId="0">
      <text>
        <t>Source: carzone.co.il, scraped 2026-05-14</t>
      </text>
    </comment>
    <comment ref="H18" authorId="0" shapeId="0">
      <text>
        <t>Source: carzone.co.il, scraped 2026-05-14</t>
      </text>
    </comment>
    <comment ref="I18" authorId="0" shapeId="0">
      <text>
        <t>Source: carzone.co.il, scraped 2026-05-14</t>
      </text>
    </comment>
    <comment ref="J18" authorId="0" shapeId="0">
      <text>
        <t>Source: carzone.co.il, scraped 2026-05-14</t>
      </text>
    </comment>
    <comment ref="K18" authorId="0" shapeId="0">
      <text>
        <t>Source: carzone.co.il, scraped 2026-05-14</t>
      </text>
    </comment>
    <comment ref="L18" authorId="0" shapeId="0">
      <text>
        <t>Source: carzone.co.il, scraped 2026-05-14</t>
      </text>
    </comment>
    <comment ref="M18" authorId="0" shapeId="0">
      <text>
        <t>Source: carzone.co.il, scraped 2026-05-14</t>
      </text>
    </comment>
    <comment ref="N18" authorId="0" shapeId="0">
      <text>
        <t>Source: carzone.co.il, scraped 2026-05-14</t>
      </text>
    </comment>
    <comment ref="H19" authorId="0" shapeId="0">
      <text>
        <t>Source: carzone.co.il, scraped 2026-05-14</t>
      </text>
    </comment>
    <comment ref="I19" authorId="0" shapeId="0">
      <text>
        <t>Source: carzone.co.il, scraped 2026-05-14</t>
      </text>
    </comment>
    <comment ref="J19" authorId="0" shapeId="0">
      <text>
        <t>Source: carzone.co.il, scraped 2026-05-14</t>
      </text>
    </comment>
    <comment ref="J20" authorId="0" shapeId="0">
      <text>
        <t>Source: carzone.co.il, scraped 2026-05-14</t>
      </text>
    </comment>
    <comment ref="K20" authorId="0" shapeId="0">
      <text>
        <t>Source: carzone.co.il, scraped 2026-05-14</t>
      </text>
    </comment>
    <comment ref="L20" authorId="0" shapeId="0">
      <text>
        <t>Source: carzone.co.il, scraped 2026-05-14</t>
      </text>
    </comment>
    <comment ref="M20" authorId="0" shapeId="0">
      <text>
        <t>Source: carzone.co.il, scraped 2026-05-14</t>
      </text>
    </comment>
    <comment ref="N20" authorId="0" shapeId="0">
      <text>
        <t>Source: carzone.co.il, scraped 2026-05-14</t>
      </text>
    </comment>
    <comment ref="J21" authorId="0" shapeId="0">
      <text>
        <t>Source: carzone.co.il, scraped 2026-05-14</t>
      </text>
    </comment>
    <comment ref="K21" authorId="0" shapeId="0">
      <text>
        <t>Source: carzone.co.il, scraped 2026-05-14</t>
      </text>
    </comment>
    <comment ref="L21" authorId="0" shapeId="0">
      <text>
        <t>Source: carzone.co.il, scraped 2026-05-14</t>
      </text>
    </comment>
    <comment ref="M21" authorId="0" shapeId="0">
      <text>
        <t>Source: carzone.co.il, scraped 2026-05-14</t>
      </text>
    </comment>
    <comment ref="N21" authorId="0" shapeId="0">
      <text>
        <t>Source: carzone.co.il, scraped 2026-05-14</t>
      </text>
    </comment>
    <comment ref="J22" authorId="0" shapeId="0">
      <text>
        <t>Source: carzone.co.il, scraped 2026-05-14</t>
      </text>
    </comment>
    <comment ref="K22" authorId="0" shapeId="0">
      <text>
        <t>Source: carzone.co.il, scraped 2026-05-14</t>
      </text>
    </comment>
    <comment ref="L22" authorId="0" shapeId="0">
      <text>
        <t>Source: carzone.co.il, scraped 2026-05-14</t>
      </text>
    </comment>
    <comment ref="M22" authorId="0" shapeId="0">
      <text>
        <t>Source: carzone.co.il, scraped 2026-05-14</t>
      </text>
    </comment>
    <comment ref="N22" authorId="0" shapeId="0">
      <text>
        <t>Source: carzone.co.il, scraped 2026-05-14</t>
      </text>
    </comment>
    <comment ref="H23" authorId="0" shapeId="0">
      <text>
        <t>Source: carzone.co.il, scraped 2026-05-14</t>
      </text>
    </comment>
    <comment ref="I23" authorId="0" shapeId="0">
      <text>
        <t>Source: carzone.co.il, scraped 2026-05-14</t>
      </text>
    </comment>
    <comment ref="J23" authorId="0" shapeId="0">
      <text>
        <t>Source: carzone.co.il, scraped 2026-05-14</t>
      </text>
    </comment>
    <comment ref="K23" authorId="0" shapeId="0">
      <text>
        <t>Source: carzone.co.il, scraped 2026-05-14</t>
      </text>
    </comment>
    <comment ref="L23" authorId="0" shapeId="0">
      <text>
        <t>Source: carzone.co.il, scraped 2026-05-14</t>
      </text>
    </comment>
    <comment ref="M23" authorId="0" shapeId="0">
      <text>
        <t>Source: carzone.co.il, scraped 2026-05-14</t>
      </text>
    </comment>
    <comment ref="N23" authorId="0" shapeId="0">
      <text>
        <t>Source: carzone.co.il, scraped 2026-05-14</t>
      </text>
    </comment>
    <comment ref="H25" authorId="0" shapeId="0">
      <text>
        <t>Source: carzone.co.il, scraped 2026-05-14</t>
      </text>
    </comment>
    <comment ref="I25" authorId="0" shapeId="0">
      <text>
        <t>Source: carzone.co.il, scraped 2026-05-14</t>
      </text>
    </comment>
    <comment ref="J25" authorId="0" shapeId="0">
      <text>
        <t>Source: carzone.co.il, scraped 2026-05-14</t>
      </text>
    </comment>
    <comment ref="K25" authorId="0" shapeId="0">
      <text>
        <t>Source: carzone.co.il, scraped 2026-05-14</t>
      </text>
    </comment>
    <comment ref="L25" authorId="0" shapeId="0">
      <text>
        <t>Source: carzone.co.il, scraped 2026-05-14</t>
      </text>
    </comment>
    <comment ref="M25" authorId="0" shapeId="0">
      <text>
        <t>Source: carzone.co.il, scraped 2026-05-14</t>
      </text>
    </comment>
    <comment ref="N25" authorId="0" shapeId="0">
      <text>
        <t>Source: carzone.co.il, scraped 2026-05-14</t>
      </text>
    </comment>
    <comment ref="J26" authorId="0" shapeId="0">
      <text>
        <t>Source: carzone.co.il, scraped 2026-05-14</t>
      </text>
    </comment>
    <comment ref="K26" authorId="0" shapeId="0">
      <text>
        <t>Source: carzone.co.il, scraped 2026-05-14</t>
      </text>
    </comment>
    <comment ref="L26" authorId="0" shapeId="0">
      <text>
        <t>Source: carzone.co.il, scraped 2026-05-14</t>
      </text>
    </comment>
    <comment ref="M26" authorId="0" shapeId="0">
      <text>
        <t>Source: carzone.co.il, scraped 2026-05-14</t>
      </text>
    </comment>
    <comment ref="N26" authorId="0" shapeId="0">
      <text>
        <t>Source: carzone.co.il, scraped 2026-05-14</t>
      </text>
    </comment>
    <comment ref="H27" authorId="0" shapeId="0">
      <text>
        <t>Source: carzone.co.il, scraped 2026-05-14</t>
      </text>
    </comment>
    <comment ref="I27" authorId="0" shapeId="0">
      <text>
        <t>Source: carzone.co.il, scraped 2026-05-14</t>
      </text>
    </comment>
    <comment ref="H28" authorId="0" shapeId="0">
      <text>
        <t>Source: carzone.co.il, scraped 2026-05-14</t>
      </text>
    </comment>
    <comment ref="I28" authorId="0" shapeId="0">
      <text>
        <t>Source: carzone.co.il, scraped 2026-05-14</t>
      </text>
    </comment>
    <comment ref="J28" authorId="0" shapeId="0">
      <text>
        <t>Source: carzone.co.il, scraped 2026-05-14</t>
      </text>
    </comment>
    <comment ref="K28" authorId="0" shapeId="0">
      <text>
        <t>Source: carzone.co.il, scraped 2026-05-14</t>
      </text>
    </comment>
    <comment ref="L28" authorId="0" shapeId="0">
      <text>
        <t>Source: carzone.co.il, scraped 2026-05-14</t>
      </text>
    </comment>
    <comment ref="M28" authorId="0" shapeId="0">
      <text>
        <t>Source: carzone.co.il, scraped 2026-05-14</t>
      </text>
    </comment>
    <comment ref="N28" authorId="0" shapeId="0">
      <text>
        <t>Source: carzone.co.il, scraped 2026-05-14</t>
      </text>
    </comment>
    <comment ref="H29" authorId="0" shapeId="0">
      <text>
        <t>Source: carzone.co.il, scraped 2026-05-14</t>
      </text>
    </comment>
    <comment ref="I29" authorId="0" shapeId="0">
      <text>
        <t>Source: carzone.co.il, scraped 2026-05-14</t>
      </text>
    </comment>
    <comment ref="J29" authorId="0" shapeId="0">
      <text>
        <t>Source: carzone.co.il, scraped 2026-05-14</t>
      </text>
    </comment>
    <comment ref="K29" authorId="0" shapeId="0">
      <text>
        <t>Source: carzone.co.il, scraped 2026-05-14</t>
      </text>
    </comment>
    <comment ref="L29" authorId="0" shapeId="0">
      <text>
        <t>Source: carzone.co.il, scraped 2026-05-14</t>
      </text>
    </comment>
    <comment ref="M29" authorId="0" shapeId="0">
      <text>
        <t>Source: carzone.co.il, scraped 2026-05-14</t>
      </text>
    </comment>
    <comment ref="N29" authorId="0" shapeId="0">
      <text>
        <t>Source: carzone.co.il, scraped 2026-05-14</t>
      </text>
    </comment>
    <comment ref="H30" authorId="0" shapeId="0">
      <text>
        <t>Source: carzone.co.il, scraped 2026-05-14</t>
      </text>
    </comment>
    <comment ref="I30" authorId="0" shapeId="0">
      <text>
        <t>Source: carzone.co.il, scraped 2026-05-14</t>
      </text>
    </comment>
    <comment ref="J30" authorId="0" shapeId="0">
      <text>
        <t>Source: carzone.co.il, scraped 2026-05-14</t>
      </text>
    </comment>
    <comment ref="K30" authorId="0" shapeId="0">
      <text>
        <t>Source: carzone.co.il, scraped 2026-05-14</t>
      </text>
    </comment>
    <comment ref="L30" authorId="0" shapeId="0">
      <text>
        <t>Source: carzone.co.il, scraped 2026-05-14</t>
      </text>
    </comment>
    <comment ref="H31" authorId="0" shapeId="0">
      <text>
        <t>Source: carzone.co.il, scraped 2026-05-14</t>
      </text>
    </comment>
    <comment ref="I31" authorId="0" shapeId="0">
      <text>
        <t>Source: carzone.co.il, scraped 2026-05-14</t>
      </text>
    </comment>
    <comment ref="J31" authorId="0" shapeId="0">
      <text>
        <t>Source: carzone.co.il, scraped 2026-05-14</t>
      </text>
    </comment>
    <comment ref="K31" authorId="0" shapeId="0">
      <text>
        <t>Source: carzone.co.il, scraped 2026-05-14</t>
      </text>
    </comment>
    <comment ref="L31" authorId="0" shapeId="0">
      <text>
        <t>Source: carzone.co.il, scraped 2026-05-14</t>
      </text>
    </comment>
    <comment ref="M31" authorId="0" shapeId="0">
      <text>
        <t>Source: carzone.co.il, scraped 2026-05-14</t>
      </text>
    </comment>
    <comment ref="N31" authorId="0" shapeId="0">
      <text>
        <t>Source: carzone.co.il, scraped 2026-05-14</t>
      </text>
    </comment>
    <comment ref="H32" authorId="0" shapeId="0">
      <text>
        <t>Source: carzone.co.il, scraped 2026-05-14</t>
      </text>
    </comment>
    <comment ref="I32" authorId="0" shapeId="0">
      <text>
        <t>Source: carzone.co.il, scraped 2026-05-14</t>
      </text>
    </comment>
    <comment ref="J32" authorId="0" shapeId="0">
      <text>
        <t>Source: carzone.co.il, scraped 2026-05-14</t>
      </text>
    </comment>
    <comment ref="K32" authorId="0" shapeId="0">
      <text>
        <t>Source: carzone.co.il, scraped 2026-05-14</t>
      </text>
    </comment>
    <comment ref="I33" authorId="0" shapeId="0">
      <text>
        <t>Source: carzone.co.il, scraped 2026-05-14</t>
      </text>
    </comment>
    <comment ref="J33" authorId="0" shapeId="0">
      <text>
        <t>Source: carzone.co.il, scraped 2026-05-14</t>
      </text>
    </comment>
    <comment ref="K33" authorId="0" shapeId="0">
      <text>
        <t>Source: carzone.co.il, scraped 2026-05-14</t>
      </text>
    </comment>
    <comment ref="H34" authorId="0" shapeId="0">
      <text>
        <t>Source: carzone.co.il, scraped 2026-05-14</t>
      </text>
    </comment>
    <comment ref="I34" authorId="0" shapeId="0">
      <text>
        <t>Source: carzone.co.il, scraped 2026-05-14</t>
      </text>
    </comment>
    <comment ref="J34" authorId="0" shapeId="0">
      <text>
        <t>Source: carzone.co.il, scraped 2026-05-14</t>
      </text>
    </comment>
    <comment ref="K34" authorId="0" shapeId="0">
      <text>
        <t>Source: carzone.co.il, scraped 2026-05-14</t>
      </text>
    </comment>
    <comment ref="L34" authorId="0" shapeId="0">
      <text>
        <t>Source: carzone.co.il, scraped 2026-05-14</t>
      </text>
    </comment>
    <comment ref="M34" authorId="0" shapeId="0">
      <text>
        <t>Source: carzone.co.il, scraped 2026-05-14</t>
      </text>
    </comment>
    <comment ref="N34" authorId="0" shapeId="0">
      <text>
        <t>Source: carzone.co.il, scraped 2026-05-14</t>
      </text>
    </comment>
    <comment ref="I35" authorId="0" shapeId="0">
      <text>
        <t>Source: carzone.co.il, scraped 2026-05-14</t>
      </text>
    </comment>
    <comment ref="J35" authorId="0" shapeId="0">
      <text>
        <t>Source: carzone.co.il, scraped 2026-05-14</t>
      </text>
    </comment>
    <comment ref="K35" authorId="0" shapeId="0">
      <text>
        <t>Source: carzone.co.il, scraped 2026-05-14</t>
      </text>
    </comment>
    <comment ref="I36" authorId="0" shapeId="0">
      <text>
        <t>Source: carzone.co.il, scraped 2026-05-14</t>
      </text>
    </comment>
    <comment ref="K36" authorId="0" shapeId="0">
      <text>
        <t>Source: carzone.co.il, scraped 2026-05-14</t>
      </text>
    </comment>
    <comment ref="N36" authorId="0" shapeId="0">
      <text>
        <t>Source: carzone.co.il, scraped 2026-05-14</t>
      </text>
    </comment>
    <comment ref="H37" authorId="0" shapeId="0">
      <text>
        <t>Source: carzone.co.il, scraped 2026-05-14</t>
      </text>
    </comment>
    <comment ref="I37" authorId="0" shapeId="0">
      <text>
        <t>Source: carzone.co.il, scraped 2026-05-14</t>
      </text>
    </comment>
    <comment ref="J37" authorId="0" shapeId="0">
      <text>
        <t>Source: carzone.co.il, scraped 2026-05-14</t>
      </text>
    </comment>
    <comment ref="K37" authorId="0" shapeId="0">
      <text>
        <t>Source: carzone.co.il, scraped 2026-05-14</t>
      </text>
    </comment>
    <comment ref="L37" authorId="0" shapeId="0">
      <text>
        <t>Source: carzone.co.il, scraped 2026-05-14</t>
      </text>
    </comment>
    <comment ref="M37" authorId="0" shapeId="0">
      <text>
        <t>Source: carzone.co.il, scraped 2026-05-14</t>
      </text>
    </comment>
    <comment ref="N37" authorId="0" shapeId="0">
      <text>
        <t>Source: carzone.co.il, scraped 2026-05-14</t>
      </text>
    </comment>
    <comment ref="H38" authorId="0" shapeId="0">
      <text>
        <t>Source: carzone.co.il, scraped 2026-05-14</t>
      </text>
    </comment>
    <comment ref="I38" authorId="0" shapeId="0">
      <text>
        <t>Source: carzone.co.il, scraped 2026-05-14</t>
      </text>
    </comment>
    <comment ref="J38" authorId="0" shapeId="0">
      <text>
        <t>Source: carzone.co.il, scraped 2026-05-14</t>
      </text>
    </comment>
    <comment ref="K38" authorId="0" shapeId="0">
      <text>
        <t>Source: carzone.co.il, scraped 2026-05-14</t>
      </text>
    </comment>
    <comment ref="L38" authorId="0" shapeId="0">
      <text>
        <t>Source: carzone.co.il, scraped 2026-05-14</t>
      </text>
    </comment>
    <comment ref="M38" authorId="0" shapeId="0">
      <text>
        <t>Source: carzone.co.il, scraped 2026-05-14</t>
      </text>
    </comment>
    <comment ref="N38" authorId="0" shapeId="0">
      <text>
        <t>Source: carzone.co.il, scraped 2026-05-14</t>
      </text>
    </comment>
    <comment ref="H39" authorId="0" shapeId="0">
      <text>
        <t>Source: carzone.co.il, scraped 2026-05-14</t>
      </text>
    </comment>
    <comment ref="I39" authorId="0" shapeId="0">
      <text>
        <t>Source: carzone.co.il, scraped 2026-05-14</t>
      </text>
    </comment>
    <comment ref="J39" authorId="0" shapeId="0">
      <text>
        <t>Source: carzone.co.il, scraped 2026-05-14</t>
      </text>
    </comment>
    <comment ref="K39" authorId="0" shapeId="0">
      <text>
        <t>Source: carzone.co.il, scraped 2026-05-14</t>
      </text>
    </comment>
    <comment ref="L39" authorId="0" shapeId="0">
      <text>
        <t>Source: carzone.co.il, scraped 2026-05-14</t>
      </text>
    </comment>
    <comment ref="M39" authorId="0" shapeId="0">
      <text>
        <t>Source: carzone.co.il, scraped 2026-05-14</t>
      </text>
    </comment>
    <comment ref="N39" authorId="0" shapeId="0">
      <text>
        <t>Source: carzone.co.il, scraped 2026-05-14</t>
      </text>
    </comment>
    <comment ref="H40" authorId="0" shapeId="0">
      <text>
        <t>Source: carzone.co.il, scraped 2026-05-14</t>
      </text>
    </comment>
    <comment ref="I40" authorId="0" shapeId="0">
      <text>
        <t>Source: carzone.co.il, scraped 2026-05-14</t>
      </text>
    </comment>
    <comment ref="H41" authorId="0" shapeId="0">
      <text>
        <t>Source: carzone.co.il, scraped 2026-05-14</t>
      </text>
    </comment>
    <comment ref="I41" authorId="0" shapeId="0">
      <text>
        <t>Source: carzone.co.il, scraped 2026-05-14</t>
      </text>
    </comment>
    <comment ref="H42" authorId="0" shapeId="0">
      <text>
        <t>Source: carzone.co.il, scraped 2026-05-14</t>
      </text>
    </comment>
    <comment ref="I42" authorId="0" shapeId="0">
      <text>
        <t>Source: carzone.co.il, scraped 2026-05-14</t>
      </text>
    </comment>
    <comment ref="J42" authorId="0" shapeId="0">
      <text>
        <t>Source: carzone.co.il, scraped 2026-05-14</t>
      </text>
    </comment>
    <comment ref="K42" authorId="0" shapeId="0">
      <text>
        <t>Source: carzone.co.il, scraped 2026-05-14</t>
      </text>
    </comment>
    <comment ref="L42" authorId="0" shapeId="0">
      <text>
        <t>Source: carzone.co.il, scraped 2026-05-14</t>
      </text>
    </comment>
    <comment ref="M42" authorId="0" shapeId="0">
      <text>
        <t>Source: carzone.co.il, scraped 2026-05-14</t>
      </text>
    </comment>
    <comment ref="N42" authorId="0" shapeId="0">
      <text>
        <t>Source: carzone.co.il, scraped 2026-05-14</t>
      </text>
    </comment>
    <comment ref="J43" authorId="0" shapeId="0">
      <text>
        <t>Source: carzone.co.il, scraped 2026-05-14</t>
      </text>
    </comment>
    <comment ref="K43" authorId="0" shapeId="0">
      <text>
        <t>Source: carzone.co.il, scraped 2026-05-14</t>
      </text>
    </comment>
    <comment ref="H44" authorId="0" shapeId="0">
      <text>
        <t>Source: carzone.co.il, scraped 2026-05-14</t>
      </text>
    </comment>
    <comment ref="I44" authorId="0" shapeId="0">
      <text>
        <t>Source: carzone.co.il, scraped 2026-05-14</t>
      </text>
    </comment>
    <comment ref="J44" authorId="0" shapeId="0">
      <text>
        <t>Source: carzone.co.il, scraped 2026-05-14</t>
      </text>
    </comment>
    <comment ref="K44" authorId="0" shapeId="0">
      <text>
        <t>Source: carzone.co.il, scraped 2026-05-14</t>
      </text>
    </comment>
    <comment ref="L44" authorId="0" shapeId="0">
      <text>
        <t>Source: carzone.co.il, scraped 2026-05-14</t>
      </text>
    </comment>
    <comment ref="M44" authorId="0" shapeId="0">
      <text>
        <t>Source: carzone.co.il, scraped 2026-05-14</t>
      </text>
    </comment>
    <comment ref="N44" authorId="0" shapeId="0">
      <text>
        <t>Source: carzone.co.il, scraped 2026-05-14</t>
      </text>
    </comment>
    <comment ref="H45" authorId="0" shapeId="0">
      <text>
        <t>Source: carzone.co.il, scraped 2026-05-14</t>
      </text>
    </comment>
    <comment ref="I45" authorId="0" shapeId="0">
      <text>
        <t>Source: carzone.co.il, scraped 2026-05-14</t>
      </text>
    </comment>
    <comment ref="J45" authorId="0" shapeId="0">
      <text>
        <t>Source: carzone.co.il, scraped 2026-05-14</t>
      </text>
    </comment>
    <comment ref="K45" authorId="0" shapeId="0">
      <text>
        <t>Source: carzone.co.il, scraped 2026-05-14</t>
      </text>
    </comment>
    <comment ref="L45" authorId="0" shapeId="0">
      <text>
        <t>Source: carzone.co.il, scraped 2026-05-14</t>
      </text>
    </comment>
    <comment ref="M45" authorId="0" shapeId="0">
      <text>
        <t>Source: carzone.co.il, scraped 2026-05-14</t>
      </text>
    </comment>
    <comment ref="H46" authorId="0" shapeId="0">
      <text>
        <t>Source: carzone.co.il, scraped 2026-05-14</t>
      </text>
    </comment>
    <comment ref="I46" authorId="0" shapeId="0">
      <text>
        <t>Source: carzone.co.il, scraped 2026-05-14</t>
      </text>
    </comment>
    <comment ref="J46" authorId="0" shapeId="0">
      <text>
        <t>Source: carzone.co.il, scraped 2026-05-14</t>
      </text>
    </comment>
    <comment ref="H47" authorId="0" shapeId="0">
      <text>
        <t>Source: carzone.co.il, scraped 2026-05-14</t>
      </text>
    </comment>
    <comment ref="I47" authorId="0" shapeId="0">
      <text>
        <t>Source: carzone.co.il, scraped 2026-05-14</t>
      </text>
    </comment>
    <comment ref="H48" authorId="0" shapeId="0">
      <text>
        <t>Source: carzone.co.il, scraped 2026-05-14</t>
      </text>
    </comment>
    <comment ref="I48" authorId="0" shapeId="0">
      <text>
        <t>Source: carzone.co.il, scraped 2026-05-14</t>
      </text>
    </comment>
    <comment ref="J48" authorId="0" shapeId="0">
      <text>
        <t>Source: carzone.co.il, scraped 2026-05-14</t>
      </text>
    </comment>
    <comment ref="I49" authorId="0" shapeId="0">
      <text>
        <t>Source: carzone.co.il, scraped 2026-05-14</t>
      </text>
    </comment>
    <comment ref="J49" authorId="0" shapeId="0">
      <text>
        <t>Source: carzone.co.il, scraped 2026-05-14</t>
      </text>
    </comment>
    <comment ref="K49" authorId="0" shapeId="0">
      <text>
        <t>Source: carzone.co.il, scraped 2026-05-14</t>
      </text>
    </comment>
    <comment ref="L49" authorId="0" shapeId="0">
      <text>
        <t>Source: carzone.co.il, scraped 2026-05-14</t>
      </text>
    </comment>
    <comment ref="M49" authorId="0" shapeId="0">
      <text>
        <t>Source: carzone.co.il, scraped 2026-05-14</t>
      </text>
    </comment>
    <comment ref="K50" authorId="0" shapeId="0">
      <text>
        <t>Source: carzone.co.il, scraped 2026-05-14</t>
      </text>
    </comment>
    <comment ref="L50" authorId="0" shapeId="0">
      <text>
        <t>Source: carzone.co.il, scraped 2026-05-14</t>
      </text>
    </comment>
    <comment ref="N50" authorId="0" shapeId="0">
      <text>
        <t>Source: carzone.co.il, scraped 2026-05-14</t>
      </text>
    </comment>
    <comment ref="I51" authorId="0" shapeId="0">
      <text>
        <t>Source: carzone.co.il, scraped 2026-05-14</t>
      </text>
    </comment>
    <comment ref="J51" authorId="0" shapeId="0">
      <text>
        <t>Source: carzone.co.il, scraped 2026-05-14</t>
      </text>
    </comment>
    <comment ref="K51" authorId="0" shapeId="0">
      <text>
        <t>Source: carzone.co.il, scraped 2026-05-14</t>
      </text>
    </comment>
    <comment ref="L51" authorId="0" shapeId="0">
      <text>
        <t>Source: carzone.co.il, scraped 2026-05-14</t>
      </text>
    </comment>
    <comment ref="K52" authorId="0" shapeId="0">
      <text>
        <t>Source: carzone.co.il, scraped 2026-05-14</t>
      </text>
    </comment>
    <comment ref="L52" authorId="0" shapeId="0">
      <text>
        <t>Source: carzone.co.il, scraped 2026-05-14</t>
      </text>
    </comment>
    <comment ref="M52" authorId="0" shapeId="0">
      <text>
        <t>Source: carzone.co.il, scraped 2026-05-14</t>
      </text>
    </comment>
    <comment ref="N52" authorId="0" shapeId="0">
      <text>
        <t>Source: carzone.co.il, scraped 2026-05-14</t>
      </text>
    </comment>
    <comment ref="J53" authorId="0" shapeId="0">
      <text>
        <t>Source: carzone.co.il, scraped 2026-05-14</t>
      </text>
    </comment>
    <comment ref="K53" authorId="0" shapeId="0">
      <text>
        <t>Source: carzone.co.il, scraped 2026-05-14</t>
      </text>
    </comment>
    <comment ref="L53" authorId="0" shapeId="0">
      <text>
        <t>Source: carzone.co.il, scraped 2026-05-14</t>
      </text>
    </comment>
    <comment ref="M53" authorId="0" shapeId="0">
      <text>
        <t>Source: carzone.co.il, scraped 2026-05-14</t>
      </text>
    </comment>
    <comment ref="I54" authorId="0" shapeId="0">
      <text>
        <t>Source: carzone.co.il, scraped 2026-05-14</t>
      </text>
    </comment>
    <comment ref="J54" authorId="0" shapeId="0">
      <text>
        <t>Source: carzone.co.il, scraped 2026-05-14</t>
      </text>
    </comment>
    <comment ref="K54" authorId="0" shapeId="0">
      <text>
        <t>Source: carzone.co.il, scraped 2026-05-14</t>
      </text>
    </comment>
    <comment ref="L54" authorId="0" shapeId="0">
      <text>
        <t>Source: carzone.co.il, scraped 2026-05-14</t>
      </text>
    </comment>
    <comment ref="M54" authorId="0" shapeId="0">
      <text>
        <t>Source: carzone.co.il, scraped 2026-05-14</t>
      </text>
    </comment>
    <comment ref="I55" authorId="0" shapeId="0">
      <text>
        <t>Source: carzone.co.il, scraped 2026-05-14</t>
      </text>
    </comment>
    <comment ref="J55" authorId="0" shapeId="0">
      <text>
        <t>Source: carzone.co.il, scraped 2026-05-14</t>
      </text>
    </comment>
    <comment ref="K55" authorId="0" shapeId="0">
      <text>
        <t>Source: carzone.co.il, scraped 2026-05-14</t>
      </text>
    </comment>
    <comment ref="H56" authorId="0" shapeId="0">
      <text>
        <t>Source: carzone.co.il, scraped 2026-05-14</t>
      </text>
    </comment>
    <comment ref="I56" authorId="0" shapeId="0">
      <text>
        <t>Source: carzone.co.il, scraped 2026-05-14</t>
      </text>
    </comment>
    <comment ref="J56" authorId="0" shapeId="0">
      <text>
        <t>Source: carzone.co.il, scraped 2026-05-14</t>
      </text>
    </comment>
    <comment ref="J57" authorId="0" shapeId="0">
      <text>
        <t>Source: carzone.co.il, scraped 2026-05-14</t>
      </text>
    </comment>
    <comment ref="K57" authorId="0" shapeId="0">
      <text>
        <t>Source: carzone.co.il, scraped 2026-05-14</t>
      </text>
    </comment>
    <comment ref="L57" authorId="0" shapeId="0">
      <text>
        <t>Source: carzone.co.il, scraped 2026-05-14</t>
      </text>
    </comment>
    <comment ref="K58" authorId="0" shapeId="0">
      <text>
        <t>Source: carzone.co.il, scraped 2026-05-14</t>
      </text>
    </comment>
    <comment ref="H59" authorId="0" shapeId="0">
      <text>
        <t>Source: carzone.co.il, scraped 2026-05-14</t>
      </text>
    </comment>
    <comment ref="J59" authorId="0" shapeId="0">
      <text>
        <t>Source: carzone.co.il, scraped 2026-05-14</t>
      </text>
    </comment>
    <comment ref="K59" authorId="0" shapeId="0">
      <text>
        <t>Source: carzone.co.il, scraped 2026-05-14</t>
      </text>
    </comment>
    <comment ref="L59" authorId="0" shapeId="0">
      <text>
        <t>Source: carzone.co.il, scraped 2026-05-14</t>
      </text>
    </comment>
    <comment ref="M59" authorId="0" shapeId="0">
      <text>
        <t>Source: carzone.co.il, scraped 2026-05-14</t>
      </text>
    </comment>
    <comment ref="N59" authorId="0" shapeId="0">
      <text>
        <t>Source: carzone.co.il, scraped 2026-05-14</t>
      </text>
    </comment>
    <comment ref="H62" authorId="0" shapeId="0">
      <text>
        <t>Source: carzone.co.il, scraped 2026-05-14</t>
      </text>
    </comment>
    <comment ref="I62" authorId="0" shapeId="0">
      <text>
        <t>Source: carzone.co.il, scraped 2026-05-14</t>
      </text>
    </comment>
    <comment ref="J62" authorId="0" shapeId="0">
      <text>
        <t>Source: carzone.co.il, scraped 2026-05-14</t>
      </text>
    </comment>
    <comment ref="K62" authorId="0" shapeId="0">
      <text>
        <t>Source: carzone.co.il, scraped 2026-05-14</t>
      </text>
    </comment>
    <comment ref="L62" authorId="0" shapeId="0">
      <text>
        <t>Source: carzone.co.il, scraped 2026-05-14</t>
      </text>
    </comment>
    <comment ref="M62" authorId="0" shapeId="0">
      <text>
        <t>Source: carzone.co.il, scraped 2026-05-14</t>
      </text>
    </comment>
    <comment ref="N62" authorId="0" shapeId="0">
      <text>
        <t>Source: carzone.co.il, scraped 2026-05-14</t>
      </text>
    </comment>
    <comment ref="H63" authorId="0" shapeId="0">
      <text>
        <t>Source: carzone.co.il, scraped 2026-05-14</t>
      </text>
    </comment>
    <comment ref="I63" authorId="0" shapeId="0">
      <text>
        <t>Source: carzone.co.il, scraped 2026-05-14</t>
      </text>
    </comment>
    <comment ref="J63" authorId="0" shapeId="0">
      <text>
        <t>Source: carzone.co.il, scraped 2026-05-14</t>
      </text>
    </comment>
    <comment ref="H64" authorId="0" shapeId="0">
      <text>
        <t>Source: carzone.co.il, scraped 2026-05-14</t>
      </text>
    </comment>
    <comment ref="I64" authorId="0" shapeId="0">
      <text>
        <t>Source: carzone.co.il, scraped 2026-05-14</t>
      </text>
    </comment>
    <comment ref="J64" authorId="0" shapeId="0">
      <text>
        <t>Source: carzone.co.il, scraped 2026-05-14</t>
      </text>
    </comment>
    <comment ref="K64" authorId="0" shapeId="0">
      <text>
        <t>Source: carzone.co.il, scraped 2026-05-14</t>
      </text>
    </comment>
    <comment ref="H65" authorId="0" shapeId="0">
      <text>
        <t>Source: carzone.co.il, scraped 2026-05-14</t>
      </text>
    </comment>
    <comment ref="I65" authorId="0" shapeId="0">
      <text>
        <t>Source: carzone.co.il, scraped 2026-05-14</t>
      </text>
    </comment>
  </commentList>
</comments>
</file>

<file path=xl/comments/comment2.xml><?xml version="1.0" encoding="utf-8"?>
<comments xmlns="http://schemas.openxmlformats.org/spreadsheetml/2006/main">
  <authors>
    <author>Moti Engelman</author>
  </authors>
  <commentList>
    <comment ref="B9" authorId="0" shapeId="0">
      <text>
        <t>Moti Engelman:
we can improve the results on A(1-4) by change the wiring route.</t>
      </text>
    </comment>
    <comment ref="B14" authorId="0" shapeId="0">
      <text>
        <t>Moti Engelman:
we can improve the results on A(1-4),
 D(1-4) by change the wiring route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26</col>
      <colOff>117475</colOff>
      <row>0</row>
      <rowOff>0</rowOff>
    </from>
    <to>
      <col>37</col>
      <colOff>73025</colOff>
      <row>36</row>
      <rowOff>96965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8532475" y="0"/>
          <a:ext cx="6661150" cy="672636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le2" displayName="Table2" ref="B2:F65" headerRowCount="1" totalsRowShown="0" headerRowDxfId="18" headerRowBorderDxfId="17" tableBorderDxfId="16">
  <autoFilter ref="B2:F65"/>
  <tableColumns count="5">
    <tableColumn id="1" name="Vendor" dataDxfId="15"/>
    <tableColumn id="2" name="Model" dataDxfId="14"/>
    <tableColumn id="3" name="Type" dataDxfId="13"/>
    <tableColumn id="4" name="Max MF" dataDxfId="12"/>
    <tableColumn id="5" name="Average Annual Exposure (AAE)" dataDxfId="11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id="2" name="Table22" displayName="Table22" ref="B2:L65" headerRowCount="1" totalsRowShown="0" headerRowDxfId="10" headerRowBorderDxfId="8" tableBorderDxfId="9">
  <autoFilter ref="B2:L65"/>
  <tableColumns count="11">
    <tableColumn id="1" name="Vendor" dataDxfId="7"/>
    <tableColumn id="2" name="Model" dataDxfId="6"/>
    <tableColumn id="3" name="Type" dataDxfId="5"/>
    <tableColumn id="4" name="Max MF" dataDxfId="4"/>
    <tableColumn id="5" name="Average Annual Exposure (AAE)" dataDxfId="3"/>
    <tableColumn id="6" name="TAM (cars)">
      <calculatedColumnFormula>SUM(Table22[[#This Row],[2026]:[2022]])</calculatedColumnFormula>
    </tableColumn>
    <tableColumn id="11" name="2026"/>
    <tableColumn id="7" name="2025"/>
    <tableColumn id="8" name="2024"/>
    <tableColumn id="9" name="2023"/>
    <tableColumn id="10" name="202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pane ySplit="2" topLeftCell="A3" activePane="bottomLeft" state="frozen"/>
      <selection pane="bottomLeft" activeCell="G2" sqref="G2"/>
    </sheetView>
  </sheetViews>
  <sheetFormatPr baseColWidth="8" defaultRowHeight="14.5"/>
  <cols>
    <col width="3.7265625" customWidth="1" style="4" min="1" max="1"/>
    <col width="13.7265625" customWidth="1" min="2" max="2"/>
    <col width="21" bestFit="1" customWidth="1" min="3" max="3"/>
    <col width="11" customWidth="1" min="5" max="5"/>
    <col width="16.26953125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B1" s="18" t="inlineStr">
        <is>
          <t>Intrinsic field values (without EMVY system)</t>
        </is>
      </c>
    </row>
    <row r="2" ht="29" customHeight="1">
      <c r="A2" s="4" t="inlineStr">
        <is>
          <t>#</t>
        </is>
      </c>
      <c r="B2" s="18" t="inlineStr">
        <is>
          <t>Vendor</t>
        </is>
      </c>
      <c r="C2" s="18" t="inlineStr">
        <is>
          <t>Model</t>
        </is>
      </c>
      <c r="D2" s="19" t="inlineStr">
        <is>
          <t>Type</t>
        </is>
      </c>
      <c r="E2" s="19" t="inlineStr">
        <is>
          <t>Max MF</t>
        </is>
      </c>
      <c r="F2" s="20" t="inlineStr">
        <is>
          <t>Average Annual Exposure (AAE)</t>
        </is>
      </c>
      <c r="G2" s="30" t="inlineStr">
        <is>
          <t>Overall TAM</t>
        </is>
      </c>
      <c r="H2" s="30" t="inlineStr">
        <is>
          <t>2026 (YTD)</t>
        </is>
      </c>
      <c r="I2" s="30" t="inlineStr">
        <is>
          <t>2025</t>
        </is>
      </c>
      <c r="J2" s="30" t="inlineStr">
        <is>
          <t>2024</t>
        </is>
      </c>
      <c r="K2" s="30" t="inlineStr">
        <is>
          <t>2023</t>
        </is>
      </c>
      <c r="L2" s="30" t="inlineStr">
        <is>
          <t>2022</t>
        </is>
      </c>
      <c r="M2" s="30" t="inlineStr">
        <is>
          <t>2021</t>
        </is>
      </c>
      <c r="N2" s="30" t="inlineStr">
        <is>
          <t>2020</t>
        </is>
      </c>
    </row>
    <row r="3">
      <c r="A3" s="4" t="n">
        <v>1</v>
      </c>
      <c r="B3" s="17" t="inlineStr">
        <is>
          <t>Chery</t>
        </is>
      </c>
      <c r="C3" s="17" t="inlineStr">
        <is>
          <t>Tiggo8pro</t>
        </is>
      </c>
      <c r="D3" s="17" t="inlineStr">
        <is>
          <t>PHEV</t>
        </is>
      </c>
      <c r="E3" s="23" t="n">
        <v>249</v>
      </c>
      <c r="F3" s="22" t="n">
        <v>28.29</v>
      </c>
      <c r="G3" s="31">
        <f>IFERROR(H3,0)+IFERROR(I3,0)+IFERROR(J3,0)+IFERROR(K3,0)+IFERROR(L3,0)+IFERROR(M3,0)+IFERROR(N3,0)</f>
        <v/>
      </c>
      <c r="H3" s="32" t="n">
        <v>3042</v>
      </c>
      <c r="I3" s="32" t="n">
        <v>8374</v>
      </c>
      <c r="J3" s="32" t="n">
        <v>4136</v>
      </c>
      <c r="K3" s="32" t="n">
        <v>6184</v>
      </c>
      <c r="L3" s="32" t="n"/>
      <c r="M3" s="32" t="n"/>
      <c r="N3" s="32" t="n"/>
    </row>
    <row r="4">
      <c r="A4" s="4" t="n">
        <v>2</v>
      </c>
      <c r="B4" s="17" t="inlineStr">
        <is>
          <t>Chrysler</t>
        </is>
      </c>
      <c r="C4" s="17" t="inlineStr">
        <is>
          <t>Wrangler 4xe sahara</t>
        </is>
      </c>
      <c r="D4" s="17" t="inlineStr">
        <is>
          <t>PHEV</t>
        </is>
      </c>
      <c r="E4" s="23" t="n">
        <v>224</v>
      </c>
      <c r="F4" s="21" t="n">
        <v>25.54</v>
      </c>
      <c r="G4" s="31">
        <f>IFERROR(H4,0)+IFERROR(I4,0)+IFERROR(J4,0)+IFERROR(K4,0)+IFERROR(L4,0)+IFERROR(M4,0)+IFERROR(N4,0)</f>
        <v/>
      </c>
      <c r="H4" s="32" t="n">
        <v>153</v>
      </c>
      <c r="I4" s="32" t="n">
        <v>187</v>
      </c>
      <c r="J4" s="32" t="n">
        <v>163</v>
      </c>
      <c r="K4" s="32" t="n">
        <v>726</v>
      </c>
      <c r="L4" s="32" t="n">
        <v>1468</v>
      </c>
      <c r="M4" s="32" t="n">
        <v>1421</v>
      </c>
      <c r="N4" s="32" t="n">
        <v>537</v>
      </c>
    </row>
    <row r="5">
      <c r="A5" s="4" t="n">
        <v>3</v>
      </c>
      <c r="B5" s="17" t="inlineStr">
        <is>
          <t>Jaecoo</t>
        </is>
      </c>
      <c r="C5" s="17" t="n">
        <v>8</v>
      </c>
      <c r="D5" s="17" t="inlineStr">
        <is>
          <t>PHEV</t>
        </is>
      </c>
      <c r="E5" s="23" t="n">
        <v>201</v>
      </c>
      <c r="F5" s="21" t="n">
        <v>23.01</v>
      </c>
      <c r="G5" s="31">
        <f>IFERROR(H5,0)+IFERROR(I5,0)+IFERROR(J5,0)+IFERROR(K5,0)+IFERROR(L5,0)+IFERROR(M5,0)+IFERROR(N5,0)</f>
        <v/>
      </c>
      <c r="H5" s="32" t="n">
        <v>3827</v>
      </c>
      <c r="I5" s="32" t="n">
        <v>93</v>
      </c>
      <c r="J5" s="32" t="n"/>
      <c r="K5" s="32" t="n"/>
      <c r="L5" s="32" t="n"/>
      <c r="M5" s="32" t="n"/>
      <c r="N5" s="32" t="n"/>
    </row>
    <row r="6">
      <c r="A6" s="4" t="n">
        <v>4</v>
      </c>
      <c r="B6" s="17" t="inlineStr">
        <is>
          <t>MG</t>
        </is>
      </c>
      <c r="C6" s="17" t="inlineStr">
        <is>
          <t>HS HYBRID+</t>
        </is>
      </c>
      <c r="D6" s="17" t="inlineStr">
        <is>
          <t>HEV</t>
        </is>
      </c>
      <c r="E6" s="23" t="n">
        <v>190</v>
      </c>
      <c r="F6" s="21" t="n">
        <v>21.8</v>
      </c>
      <c r="G6" s="31">
        <f>IFERROR(H6,0)+IFERROR(I6,0)+IFERROR(J6,0)+IFERROR(K6,0)+IFERROR(L6,0)+IFERROR(M6,0)+IFERROR(N6,0)</f>
        <v/>
      </c>
      <c r="H6" s="32" t="n">
        <v>496</v>
      </c>
      <c r="I6" s="32" t="n">
        <v>388</v>
      </c>
      <c r="J6" s="32" t="n"/>
      <c r="K6" s="32" t="n"/>
      <c r="L6" s="32" t="n"/>
      <c r="M6" s="32" t="n"/>
      <c r="N6" s="32" t="n"/>
    </row>
    <row r="7">
      <c r="A7" s="4" t="n">
        <v>5</v>
      </c>
      <c r="B7" s="17" t="inlineStr">
        <is>
          <t>Omoda</t>
        </is>
      </c>
      <c r="C7" s="17" t="n">
        <v>9</v>
      </c>
      <c r="D7" s="17" t="inlineStr">
        <is>
          <t>PHEV</t>
        </is>
      </c>
      <c r="E7" s="23" t="n">
        <v>168</v>
      </c>
      <c r="F7" s="21" t="n">
        <v>19.38</v>
      </c>
      <c r="G7" s="31">
        <f>IFERROR(H7,0)+IFERROR(I7,0)+IFERROR(J7,0)+IFERROR(K7,0)+IFERROR(L7,0)+IFERROR(M7,0)+IFERROR(N7,0)</f>
        <v/>
      </c>
      <c r="H7" s="32" t="n">
        <v>487</v>
      </c>
      <c r="I7" s="32" t="n">
        <v>23</v>
      </c>
      <c r="J7" s="32" t="n"/>
      <c r="K7" s="32" t="n"/>
      <c r="L7" s="32" t="n"/>
      <c r="M7" s="32" t="n"/>
      <c r="N7" s="32" t="n"/>
    </row>
    <row r="8">
      <c r="A8" s="4" t="n">
        <v>6</v>
      </c>
      <c r="B8" s="17" t="inlineStr">
        <is>
          <t>Hyundai</t>
        </is>
      </c>
      <c r="C8" s="17" t="inlineStr">
        <is>
          <t>Elantra</t>
        </is>
      </c>
      <c r="D8" s="17" t="inlineStr">
        <is>
          <t>HEV</t>
        </is>
      </c>
      <c r="E8" s="23" t="n">
        <v>156</v>
      </c>
      <c r="F8" s="21" t="n">
        <v>18.06</v>
      </c>
      <c r="G8" s="31">
        <f>IFERROR(H8,0)+IFERROR(I8,0)+IFERROR(J8,0)+IFERROR(K8,0)+IFERROR(L8,0)+IFERROR(M8,0)+IFERROR(N8,0)</f>
        <v/>
      </c>
      <c r="H8" s="32" t="n">
        <v>1017</v>
      </c>
      <c r="I8" s="32" t="n">
        <v>6071</v>
      </c>
      <c r="J8" s="32" t="n">
        <v>8379</v>
      </c>
      <c r="K8" s="32" t="n">
        <v>8055</v>
      </c>
      <c r="L8" s="32" t="n">
        <v>5789</v>
      </c>
      <c r="M8" s="32" t="n">
        <v>1038</v>
      </c>
      <c r="N8" s="32" t="n"/>
    </row>
    <row r="9">
      <c r="A9" s="4" t="n">
        <v>7</v>
      </c>
      <c r="B9" s="17" t="inlineStr">
        <is>
          <t>Omoda</t>
        </is>
      </c>
      <c r="C9" s="17" t="n">
        <v>7</v>
      </c>
      <c r="D9" s="17" t="inlineStr">
        <is>
          <t>PHEV</t>
        </is>
      </c>
      <c r="E9" s="23" t="n">
        <v>148</v>
      </c>
      <c r="F9" s="21" t="n">
        <v>17.18</v>
      </c>
      <c r="G9" s="31">
        <f>IFERROR(H9,0)+IFERROR(I9,0)+IFERROR(J9,0)+IFERROR(K9,0)+IFERROR(L9,0)+IFERROR(M9,0)+IFERROR(N9,0)</f>
        <v/>
      </c>
      <c r="H9" s="32" t="n">
        <v>1005</v>
      </c>
      <c r="I9" s="32" t="n">
        <v>26</v>
      </c>
      <c r="J9" s="32" t="n"/>
      <c r="K9" s="32" t="n"/>
      <c r="L9" s="32" t="n"/>
      <c r="M9" s="32" t="n"/>
      <c r="N9" s="32" t="n"/>
    </row>
    <row r="10">
      <c r="A10" s="4" t="n">
        <v>8</v>
      </c>
      <c r="B10" s="17" t="inlineStr">
        <is>
          <t>Jaecoo</t>
        </is>
      </c>
      <c r="C10" s="17" t="inlineStr">
        <is>
          <t>7 PHEV</t>
        </is>
      </c>
      <c r="D10" s="17" t="inlineStr">
        <is>
          <t>PHEV</t>
        </is>
      </c>
      <c r="E10" s="23" t="n">
        <v>137</v>
      </c>
      <c r="F10" s="21" t="n">
        <v>15.97</v>
      </c>
      <c r="G10" s="31">
        <f>IFERROR(H10,0)+IFERROR(I10,0)+IFERROR(J10,0)+IFERROR(K10,0)+IFERROR(L10,0)+IFERROR(M10,0)+IFERROR(N10,0)</f>
        <v/>
      </c>
      <c r="H10" s="32" t="n">
        <v>5453</v>
      </c>
      <c r="I10" s="32" t="n">
        <v>15215</v>
      </c>
      <c r="J10" s="32" t="n">
        <v>1357</v>
      </c>
      <c r="K10" s="32" t="n"/>
      <c r="L10" s="32" t="n"/>
      <c r="M10" s="32" t="n"/>
      <c r="N10" s="32" t="n"/>
    </row>
    <row r="11">
      <c r="A11" s="4" t="n">
        <v>9</v>
      </c>
      <c r="B11" s="17" t="inlineStr">
        <is>
          <t>Jaecoo</t>
        </is>
      </c>
      <c r="C11" s="17" t="n">
        <v>5</v>
      </c>
      <c r="D11" s="17" t="inlineStr">
        <is>
          <t>HEV</t>
        </is>
      </c>
      <c r="E11" s="23" t="n">
        <v>128</v>
      </c>
      <c r="F11" s="21" t="n">
        <v>14.98</v>
      </c>
      <c r="G11" s="31">
        <f>IFERROR(H11,0)+IFERROR(I11,0)+IFERROR(J11,0)+IFERROR(K11,0)+IFERROR(L11,0)+IFERROR(M11,0)+IFERROR(N11,0)</f>
        <v/>
      </c>
      <c r="H11" s="32" t="n">
        <v>4870</v>
      </c>
      <c r="I11" s="32" t="n">
        <v>933</v>
      </c>
      <c r="J11" s="32" t="n"/>
      <c r="K11" s="32" t="n"/>
      <c r="L11" s="32" t="n"/>
      <c r="M11" s="32" t="n"/>
      <c r="N11" s="32" t="n"/>
    </row>
    <row r="12">
      <c r="A12" s="4" t="n">
        <v>10</v>
      </c>
      <c r="B12" s="17" t="inlineStr">
        <is>
          <t>MG</t>
        </is>
      </c>
      <c r="C12" s="17" t="inlineStr">
        <is>
          <t>EHS</t>
        </is>
      </c>
      <c r="D12" s="17" t="inlineStr">
        <is>
          <t>PHEV</t>
        </is>
      </c>
      <c r="E12" s="23" t="n">
        <v>124</v>
      </c>
      <c r="F12" s="21" t="n">
        <v>14.54</v>
      </c>
      <c r="G12" s="31">
        <f>IFERROR(H12,0)+IFERROR(I12,0)+IFERROR(J12,0)+IFERROR(K12,0)+IFERROR(L12,0)+IFERROR(M12,0)+IFERROR(N12,0)</f>
        <v/>
      </c>
      <c r="H12" s="32" t="n">
        <v>496</v>
      </c>
      <c r="I12" s="32" t="n">
        <v>388</v>
      </c>
      <c r="J12" s="32" t="n"/>
      <c r="K12" s="32" t="n"/>
      <c r="L12" s="32" t="n"/>
      <c r="M12" s="32" t="n"/>
      <c r="N12" s="32" t="n"/>
    </row>
    <row r="13">
      <c r="A13" s="4" t="n">
        <v>11</v>
      </c>
      <c r="B13" s="17" t="inlineStr">
        <is>
          <t>Tesla</t>
        </is>
      </c>
      <c r="C13" s="17" t="inlineStr">
        <is>
          <t>3 single motor RWD</t>
        </is>
      </c>
      <c r="D13" s="17" t="inlineStr">
        <is>
          <t>BEV</t>
        </is>
      </c>
      <c r="E13" s="23" t="n">
        <v>123.501</v>
      </c>
      <c r="F13" s="21" t="n">
        <v>14.48511</v>
      </c>
      <c r="G13" s="31">
        <f>IFERROR(H13,0)+IFERROR(I13,0)+IFERROR(J13,0)+IFERROR(K13,0)+IFERROR(L13,0)+IFERROR(M13,0)+IFERROR(N13,0)</f>
        <v/>
      </c>
      <c r="H13" s="32" t="n">
        <v>772</v>
      </c>
      <c r="I13" s="32" t="n">
        <v>1986</v>
      </c>
      <c r="J13" s="32" t="n">
        <v>3958</v>
      </c>
      <c r="K13" s="32" t="n">
        <v>2109</v>
      </c>
      <c r="L13" s="32" t="n">
        <v>4528</v>
      </c>
      <c r="M13" s="32" t="n">
        <v>6298</v>
      </c>
      <c r="N13" s="32" t="n"/>
    </row>
    <row r="14">
      <c r="A14" s="4" t="n">
        <v>12</v>
      </c>
      <c r="B14" s="17" t="inlineStr">
        <is>
          <t>Hyundai</t>
        </is>
      </c>
      <c r="C14" s="17" t="inlineStr">
        <is>
          <t>Ioniq 4</t>
        </is>
      </c>
      <c r="D14" s="17" t="inlineStr">
        <is>
          <t>HEV</t>
        </is>
      </c>
      <c r="E14" s="23" t="n">
        <v>112</v>
      </c>
      <c r="F14" s="21" t="n">
        <v>13.22</v>
      </c>
      <c r="G14" s="31">
        <f>IFERROR(H14,0)+IFERROR(I14,0)+IFERROR(J14,0)+IFERROR(K14,0)+IFERROR(L14,0)+IFERROR(M14,0)+IFERROR(N14,0)</f>
        <v/>
      </c>
      <c r="H14" s="32" t="n"/>
      <c r="I14" s="32" t="n"/>
      <c r="J14" s="32" t="n"/>
      <c r="K14" s="32" t="n">
        <v>18</v>
      </c>
      <c r="L14" s="32" t="n">
        <v>5756</v>
      </c>
      <c r="M14" s="32" t="n">
        <v>12144</v>
      </c>
      <c r="N14" s="32" t="n">
        <v>9911</v>
      </c>
    </row>
    <row r="15">
      <c r="A15" s="4" t="n">
        <v>13</v>
      </c>
      <c r="B15" s="17" t="inlineStr">
        <is>
          <t>BYD</t>
        </is>
      </c>
      <c r="C15" s="17" t="inlineStr">
        <is>
          <t>Seal U DM-I</t>
        </is>
      </c>
      <c r="D15" s="17" t="inlineStr">
        <is>
          <t>PHEV</t>
        </is>
      </c>
      <c r="E15" s="23" t="n">
        <v>96</v>
      </c>
      <c r="F15" s="21" t="n">
        <v>11.46</v>
      </c>
      <c r="G15" s="31">
        <f>IFERROR(H15,0)+IFERROR(I15,0)+IFERROR(J15,0)+IFERROR(K15,0)+IFERROR(L15,0)+IFERROR(M15,0)+IFERROR(N15,0)</f>
        <v/>
      </c>
      <c r="H15" s="32" t="n">
        <v>2663</v>
      </c>
      <c r="I15" s="32" t="n">
        <v>5690</v>
      </c>
      <c r="J15" s="32" t="n">
        <v>444</v>
      </c>
      <c r="K15" s="32" t="n"/>
      <c r="L15" s="32" t="n"/>
      <c r="M15" s="32" t="n"/>
      <c r="N15" s="32" t="n"/>
    </row>
    <row r="16">
      <c r="A16" s="4" t="n">
        <v>14</v>
      </c>
      <c r="B16" s="17" t="inlineStr">
        <is>
          <t xml:space="preserve">Porsche </t>
        </is>
      </c>
      <c r="C16" s="17" t="inlineStr">
        <is>
          <t>Panamera</t>
        </is>
      </c>
      <c r="D16" s="17" t="inlineStr">
        <is>
          <t>PHEV</t>
        </is>
      </c>
      <c r="E16" s="23" t="n">
        <v>95</v>
      </c>
      <c r="F16" s="21" t="n">
        <v>11.35</v>
      </c>
      <c r="G16" s="31">
        <f>IFERROR(H16,0)+IFERROR(I16,0)+IFERROR(J16,0)+IFERROR(K16,0)+IFERROR(L16,0)+IFERROR(M16,0)+IFERROR(N16,0)</f>
        <v/>
      </c>
      <c r="H16" s="32" t="n">
        <v>10</v>
      </c>
      <c r="I16" s="32" t="n">
        <v>22</v>
      </c>
      <c r="J16" s="32" t="n">
        <v>7</v>
      </c>
      <c r="K16" s="32" t="n">
        <v>10</v>
      </c>
      <c r="L16" s="32" t="n">
        <v>15</v>
      </c>
      <c r="M16" s="32" t="n">
        <v>18</v>
      </c>
      <c r="N16" s="32" t="n">
        <v>42</v>
      </c>
    </row>
    <row r="17">
      <c r="A17" s="4" t="n">
        <v>15</v>
      </c>
      <c r="B17" s="17" t="inlineStr">
        <is>
          <t>Suzuki</t>
        </is>
      </c>
      <c r="C17" s="17" t="inlineStr">
        <is>
          <t>Vitrara</t>
        </is>
      </c>
      <c r="D17" s="17" t="inlineStr">
        <is>
          <t>HEV</t>
        </is>
      </c>
      <c r="E17" s="23" t="n">
        <v>81</v>
      </c>
      <c r="F17" s="21" t="n">
        <v>9.81</v>
      </c>
      <c r="G17" s="31">
        <f>IFERROR(H17,0)+IFERROR(I17,0)+IFERROR(J17,0)+IFERROR(K17,0)+IFERROR(L17,0)+IFERROR(M17,0)+IFERROR(N17,0)</f>
        <v/>
      </c>
      <c r="H17" s="32" t="n">
        <v>197</v>
      </c>
      <c r="I17" s="32" t="n">
        <v>575</v>
      </c>
      <c r="J17" s="32" t="n">
        <v>1102</v>
      </c>
      <c r="K17" s="32" t="n">
        <v>1519</v>
      </c>
      <c r="L17" s="32" t="n">
        <v>1945</v>
      </c>
      <c r="M17" s="32" t="n">
        <v>3031</v>
      </c>
      <c r="N17" s="32" t="n">
        <v>2205</v>
      </c>
    </row>
    <row r="18">
      <c r="A18" s="4" t="n">
        <v>16</v>
      </c>
      <c r="B18" s="17" t="inlineStr">
        <is>
          <t>Suzuki</t>
        </is>
      </c>
      <c r="C18" s="17" t="inlineStr">
        <is>
          <t>Swift GLX micro-hybrid</t>
        </is>
      </c>
      <c r="D18" s="17" t="inlineStr">
        <is>
          <t>HEV</t>
        </is>
      </c>
      <c r="E18" s="23" t="n">
        <v>80.47</v>
      </c>
      <c r="F18" s="21" t="n">
        <v>9.7517</v>
      </c>
      <c r="G18" s="31">
        <f>IFERROR(H18,0)+IFERROR(I18,0)+IFERROR(J18,0)+IFERROR(K18,0)+IFERROR(L18,0)+IFERROR(M18,0)+IFERROR(N18,0)</f>
        <v/>
      </c>
      <c r="H18" s="32" t="n">
        <v>506</v>
      </c>
      <c r="I18" s="32" t="n">
        <v>1637</v>
      </c>
      <c r="J18" s="32" t="n">
        <v>1905</v>
      </c>
      <c r="K18" s="32" t="n">
        <v>1561</v>
      </c>
      <c r="L18" s="32" t="n">
        <v>1215</v>
      </c>
      <c r="M18" s="32" t="n">
        <v>2006</v>
      </c>
      <c r="N18" s="32" t="n">
        <v>1290</v>
      </c>
    </row>
    <row r="19">
      <c r="A19" s="4" t="n">
        <v>17</v>
      </c>
      <c r="B19" s="17" t="inlineStr">
        <is>
          <t>LeapMotor</t>
        </is>
      </c>
      <c r="C19" s="17" t="inlineStr">
        <is>
          <t>C10</t>
        </is>
      </c>
      <c r="D19" s="17" t="inlineStr">
        <is>
          <t>PHEV</t>
        </is>
      </c>
      <c r="E19" s="23" t="n">
        <v>77</v>
      </c>
      <c r="F19" s="21" t="n">
        <v>9.370000000000001</v>
      </c>
      <c r="G19" s="31">
        <f>IFERROR(H19,0)+IFERROR(I19,0)+IFERROR(J19,0)+IFERROR(K19,0)+IFERROR(L19,0)+IFERROR(M19,0)+IFERROR(N19,0)</f>
        <v/>
      </c>
      <c r="H19" s="32" t="n">
        <v>452</v>
      </c>
      <c r="I19" s="32" t="n">
        <v>1103</v>
      </c>
      <c r="J19" s="32" t="n">
        <v>11</v>
      </c>
      <c r="K19" s="32" t="n"/>
      <c r="L19" s="32" t="n"/>
      <c r="M19" s="32" t="n"/>
      <c r="N19" s="32" t="n"/>
    </row>
    <row r="20">
      <c r="A20" s="4" t="n">
        <v>18</v>
      </c>
      <c r="B20" s="17" t="inlineStr">
        <is>
          <t xml:space="preserve">AUDI </t>
        </is>
      </c>
      <c r="C20" s="17" t="inlineStr">
        <is>
          <t>Q8 SPORTBACK E-Tron</t>
        </is>
      </c>
      <c r="D20" s="17" t="inlineStr">
        <is>
          <t>BEV</t>
        </is>
      </c>
      <c r="E20" s="23" t="n">
        <v>73</v>
      </c>
      <c r="F20" s="21" t="n">
        <v>8.93</v>
      </c>
      <c r="G20" s="31">
        <f>IFERROR(H20,0)+IFERROR(I20,0)+IFERROR(J20,0)+IFERROR(K20,0)+IFERROR(L20,0)+IFERROR(M20,0)+IFERROR(N20,0)</f>
        <v/>
      </c>
      <c r="H20" s="32" t="n"/>
      <c r="I20" s="32" t="n"/>
      <c r="J20" s="32" t="n">
        <v>60</v>
      </c>
      <c r="K20" s="32" t="n">
        <v>43</v>
      </c>
      <c r="L20" s="32" t="n">
        <v>71</v>
      </c>
      <c r="M20" s="32" t="n">
        <v>107</v>
      </c>
      <c r="N20" s="32" t="n">
        <v>90</v>
      </c>
    </row>
    <row r="21">
      <c r="A21" s="4" t="n">
        <v>19</v>
      </c>
      <c r="B21" s="17" t="inlineStr">
        <is>
          <t>KIA</t>
        </is>
      </c>
      <c r="C21" s="17" t="inlineStr">
        <is>
          <t>Niro Gen 2</t>
        </is>
      </c>
      <c r="D21" s="17" t="inlineStr">
        <is>
          <t>PHEV</t>
        </is>
      </c>
      <c r="E21" s="23" t="n">
        <v>71.5</v>
      </c>
      <c r="F21" s="21" t="n">
        <v>8.765000000000001</v>
      </c>
      <c r="G21" s="31">
        <f>IFERROR(H21,0)+IFERROR(I21,0)+IFERROR(J21,0)+IFERROR(K21,0)+IFERROR(L21,0)+IFERROR(M21,0)+IFERROR(N21,0)</f>
        <v/>
      </c>
      <c r="H21" s="32" t="n"/>
      <c r="I21" s="32" t="n"/>
      <c r="J21" s="32" t="n">
        <v>2760</v>
      </c>
      <c r="K21" s="32" t="n">
        <v>1359</v>
      </c>
      <c r="L21" s="32" t="n">
        <v>0</v>
      </c>
      <c r="M21" s="32" t="n">
        <v>0</v>
      </c>
      <c r="N21" s="32" t="n">
        <v>0</v>
      </c>
    </row>
    <row r="22">
      <c r="A22" s="4" t="n">
        <v>20</v>
      </c>
      <c r="B22" s="17" t="inlineStr">
        <is>
          <t>KIA</t>
        </is>
      </c>
      <c r="C22" s="17" t="inlineStr">
        <is>
          <t>Niro Plus Gen1</t>
        </is>
      </c>
      <c r="D22" s="17" t="inlineStr">
        <is>
          <t>PHEV</t>
        </is>
      </c>
      <c r="E22" s="23" t="n">
        <v>71.5</v>
      </c>
      <c r="F22" s="21" t="n">
        <v>8.765000000000001</v>
      </c>
      <c r="G22" s="31">
        <f>IFERROR(H22,0)+IFERROR(I22,0)+IFERROR(J22,0)+IFERROR(K22,0)+IFERROR(L22,0)+IFERROR(M22,0)+IFERROR(N22,0)</f>
        <v/>
      </c>
      <c r="H22" s="32" t="n"/>
      <c r="I22" s="32" t="n"/>
      <c r="J22" s="32" t="n">
        <v>1395</v>
      </c>
      <c r="K22" s="32" t="n">
        <v>7132</v>
      </c>
      <c r="L22" s="32" t="n">
        <v>1160</v>
      </c>
      <c r="M22" s="32" t="n">
        <v>0</v>
      </c>
      <c r="N22" s="32" t="n">
        <v>0</v>
      </c>
    </row>
    <row r="23">
      <c r="A23" s="4" t="n">
        <v>21</v>
      </c>
      <c r="B23" s="17" t="inlineStr">
        <is>
          <t>Toyota</t>
        </is>
      </c>
      <c r="C23" s="17" t="inlineStr">
        <is>
          <t>Camry</t>
        </is>
      </c>
      <c r="D23" s="17" t="inlineStr">
        <is>
          <t>HEV</t>
        </is>
      </c>
      <c r="E23" s="23" t="n">
        <v>71.056</v>
      </c>
      <c r="F23" s="21" t="n">
        <v>8.71616</v>
      </c>
      <c r="G23" s="31">
        <f>IFERROR(H23,0)+IFERROR(I23,0)+IFERROR(J23,0)+IFERROR(K23,0)+IFERROR(L23,0)+IFERROR(M23,0)+IFERROR(N23,0)</f>
        <v/>
      </c>
      <c r="H23" s="32" t="n">
        <v>193</v>
      </c>
      <c r="I23" s="32" t="n">
        <v>549</v>
      </c>
      <c r="J23" s="32" t="n">
        <v>296</v>
      </c>
      <c r="K23" s="32" t="n">
        <v>466</v>
      </c>
      <c r="L23" s="32" t="n">
        <v>729</v>
      </c>
      <c r="M23" s="32" t="n">
        <v>1298</v>
      </c>
      <c r="N23" s="32" t="n">
        <v>594</v>
      </c>
    </row>
    <row r="24">
      <c r="A24" s="4" t="n">
        <v>22</v>
      </c>
      <c r="B24" s="17" t="inlineStr">
        <is>
          <t>Chevrolet</t>
        </is>
      </c>
      <c r="C24" s="17" t="inlineStr">
        <is>
          <t>Silverado RST</t>
        </is>
      </c>
      <c r="D24" s="17" t="inlineStr">
        <is>
          <t>BEV</t>
        </is>
      </c>
      <c r="E24" s="23" t="n">
        <v>65</v>
      </c>
      <c r="F24" s="21" t="n">
        <v>8.050000000000001</v>
      </c>
      <c r="G24" s="31">
        <f>IFERROR(H24,0)+IFERROR(I24,0)+IFERROR(J24,0)+IFERROR(K24,0)+IFERROR(L24,0)+IFERROR(M24,0)+IFERROR(N24,0)</f>
        <v/>
      </c>
      <c r="H24" s="32" t="n"/>
      <c r="I24" s="32" t="n"/>
      <c r="J24" s="32" t="n"/>
      <c r="K24" s="32" t="n"/>
      <c r="L24" s="32" t="n"/>
      <c r="M24" s="32" t="n"/>
      <c r="N24" s="32" t="n"/>
    </row>
    <row r="25">
      <c r="A25" s="4" t="n">
        <v>23</v>
      </c>
      <c r="B25" s="17" t="inlineStr">
        <is>
          <t>Mitsubishi</t>
        </is>
      </c>
      <c r="C25" s="17" t="inlineStr">
        <is>
          <t>Outlander</t>
        </is>
      </c>
      <c r="D25" s="17" t="inlineStr">
        <is>
          <t>PHEV</t>
        </is>
      </c>
      <c r="E25" s="23" t="n">
        <v>61</v>
      </c>
      <c r="F25" s="21" t="n">
        <v>7.61</v>
      </c>
      <c r="G25" s="31">
        <f>IFERROR(H25,0)+IFERROR(I25,0)+IFERROR(J25,0)+IFERROR(K25,0)+IFERROR(L25,0)+IFERROR(M25,0)+IFERROR(N25,0)</f>
        <v/>
      </c>
      <c r="H25" s="32" t="n">
        <v>1750</v>
      </c>
      <c r="I25" s="32" t="n">
        <v>4152</v>
      </c>
      <c r="J25" s="32" t="n">
        <v>4985</v>
      </c>
      <c r="K25" s="32" t="n">
        <v>5171</v>
      </c>
      <c r="L25" s="32" t="n">
        <v>3012</v>
      </c>
      <c r="M25" s="32" t="n">
        <v>5187</v>
      </c>
      <c r="N25" s="32" t="n">
        <v>4739</v>
      </c>
    </row>
    <row r="26">
      <c r="A26" s="4" t="n">
        <v>24</v>
      </c>
      <c r="B26" s="17" t="inlineStr">
        <is>
          <t>KIA</t>
        </is>
      </c>
      <c r="C26" s="17" t="inlineStr">
        <is>
          <t>Niro Hybrid Gen 1</t>
        </is>
      </c>
      <c r="D26" s="17" t="inlineStr">
        <is>
          <t>HEV</t>
        </is>
      </c>
      <c r="E26" s="23" t="n">
        <v>57.998</v>
      </c>
      <c r="F26" s="21" t="n">
        <v>7.27978</v>
      </c>
      <c r="G26" s="31">
        <f>IFERROR(H26,0)+IFERROR(I26,0)+IFERROR(J26,0)+IFERROR(K26,0)+IFERROR(L26,0)+IFERROR(M26,0)+IFERROR(N26,0)</f>
        <v/>
      </c>
      <c r="H26" s="32" t="n"/>
      <c r="I26" s="32" t="n"/>
      <c r="J26" s="32" t="n">
        <v>0</v>
      </c>
      <c r="K26" s="32" t="n">
        <v>0</v>
      </c>
      <c r="L26" s="32" t="n">
        <v>592</v>
      </c>
      <c r="M26" s="32" t="n">
        <v>4926</v>
      </c>
      <c r="N26" s="32" t="n">
        <v>5766</v>
      </c>
    </row>
    <row r="27">
      <c r="A27" s="4" t="n">
        <v>25</v>
      </c>
      <c r="B27" s="17" t="inlineStr">
        <is>
          <t xml:space="preserve">VOYAH </t>
        </is>
      </c>
      <c r="C27" s="17" t="inlineStr">
        <is>
          <t>Courage</t>
        </is>
      </c>
      <c r="D27" s="17" t="inlineStr">
        <is>
          <t>BEV</t>
        </is>
      </c>
      <c r="E27" s="23" t="n">
        <v>50</v>
      </c>
      <c r="F27" s="21" t="n">
        <v>6.4</v>
      </c>
      <c r="G27" s="31">
        <f>IFERROR(H27,0)+IFERROR(I27,0)+IFERROR(J27,0)+IFERROR(K27,0)+IFERROR(L27,0)+IFERROR(M27,0)+IFERROR(N27,0)</f>
        <v/>
      </c>
      <c r="H27" s="32" t="n">
        <v>160</v>
      </c>
      <c r="I27" s="32" t="n">
        <v>131</v>
      </c>
      <c r="J27" s="32" t="n"/>
      <c r="K27" s="32" t="n"/>
      <c r="L27" s="32" t="n"/>
      <c r="M27" s="32" t="n"/>
      <c r="N27" s="32" t="n"/>
    </row>
    <row r="28">
      <c r="A28" s="4" t="n">
        <v>26</v>
      </c>
      <c r="B28" s="17" t="inlineStr">
        <is>
          <t>Toyota</t>
        </is>
      </c>
      <c r="C28" s="17" t="inlineStr">
        <is>
          <t>Corolla sedan</t>
        </is>
      </c>
      <c r="D28" s="17" t="inlineStr">
        <is>
          <t>HEV</t>
        </is>
      </c>
      <c r="E28" s="23" t="n">
        <v>45.1</v>
      </c>
      <c r="F28" s="21" t="n">
        <v>5.861000000000001</v>
      </c>
      <c r="G28" s="31">
        <f>IFERROR(H28,0)+IFERROR(I28,0)+IFERROR(J28,0)+IFERROR(K28,0)+IFERROR(L28,0)+IFERROR(M28,0)+IFERROR(N28,0)</f>
        <v/>
      </c>
      <c r="H28" s="32" t="n">
        <v>474</v>
      </c>
      <c r="I28" s="32" t="n">
        <v>1015</v>
      </c>
      <c r="J28" s="32" t="n">
        <v>4279</v>
      </c>
      <c r="K28" s="32" t="n">
        <v>6046</v>
      </c>
      <c r="L28" s="32" t="n">
        <v>11164</v>
      </c>
      <c r="M28" s="32" t="n">
        <v>19631</v>
      </c>
      <c r="N28" s="32" t="n">
        <v>14119</v>
      </c>
    </row>
    <row r="29">
      <c r="A29" s="4" t="n">
        <v>27</v>
      </c>
      <c r="B29" s="17" t="inlineStr">
        <is>
          <t>Toyota</t>
        </is>
      </c>
      <c r="C29" s="17" t="inlineStr">
        <is>
          <t>RAV4</t>
        </is>
      </c>
      <c r="D29" s="17" t="inlineStr">
        <is>
          <t>HEV</t>
        </is>
      </c>
      <c r="E29" s="23" t="n">
        <v>40.7</v>
      </c>
      <c r="F29" s="21" t="n">
        <v>5.377000000000001</v>
      </c>
      <c r="G29" s="31">
        <f>IFERROR(H29,0)+IFERROR(I29,0)+IFERROR(J29,0)+IFERROR(K29,0)+IFERROR(L29,0)+IFERROR(M29,0)+IFERROR(N29,0)</f>
        <v/>
      </c>
      <c r="H29" s="32" t="n">
        <v>1740</v>
      </c>
      <c r="I29" s="32" t="n">
        <v>7500</v>
      </c>
      <c r="J29" s="32" t="n">
        <v>7135</v>
      </c>
      <c r="K29" s="32" t="n">
        <v>4699</v>
      </c>
      <c r="L29" s="32" t="n">
        <v>5835</v>
      </c>
      <c r="M29" s="32" t="n">
        <v>6922</v>
      </c>
      <c r="N29" s="32" t="n">
        <v>5186</v>
      </c>
    </row>
    <row r="30">
      <c r="A30" s="4" t="n">
        <v>28</v>
      </c>
      <c r="B30" s="17" t="inlineStr">
        <is>
          <t>Tesla</t>
        </is>
      </c>
      <c r="C30" s="17" t="inlineStr">
        <is>
          <t>Y Dual motor</t>
        </is>
      </c>
      <c r="D30" s="17" t="inlineStr">
        <is>
          <t>BEV</t>
        </is>
      </c>
      <c r="E30" s="23" t="n">
        <v>38.978</v>
      </c>
      <c r="F30" s="21" t="n">
        <v>5.187580000000001</v>
      </c>
      <c r="G30" s="31">
        <f>IFERROR(H30,0)+IFERROR(I30,0)+IFERROR(J30,0)+IFERROR(K30,0)+IFERROR(L30,0)+IFERROR(M30,0)+IFERROR(N30,0)</f>
        <v/>
      </c>
      <c r="H30" s="32" t="n">
        <v>1065</v>
      </c>
      <c r="I30" s="32" t="n">
        <v>4082</v>
      </c>
      <c r="J30" s="32" t="n">
        <v>4240</v>
      </c>
      <c r="K30" s="32" t="n">
        <v>4151</v>
      </c>
      <c r="L30" s="32" t="n">
        <v>1102</v>
      </c>
      <c r="M30" s="32" t="n"/>
      <c r="N30" s="32" t="n"/>
    </row>
    <row r="31">
      <c r="A31" s="4" t="n">
        <v>29</v>
      </c>
      <c r="B31" s="17" t="inlineStr">
        <is>
          <t>BMW</t>
        </is>
      </c>
      <c r="C31" s="17" t="inlineStr">
        <is>
          <t>X5 xDrive45e</t>
        </is>
      </c>
      <c r="D31" s="17" t="inlineStr">
        <is>
          <t>PHEV</t>
        </is>
      </c>
      <c r="E31" s="23" t="n">
        <v>37</v>
      </c>
      <c r="F31" s="21" t="n">
        <v>4.970000000000001</v>
      </c>
      <c r="G31" s="31">
        <f>IFERROR(H31,0)+IFERROR(I31,0)+IFERROR(J31,0)+IFERROR(K31,0)+IFERROR(L31,0)+IFERROR(M31,0)+IFERROR(N31,0)</f>
        <v/>
      </c>
      <c r="H31" s="32" t="n">
        <v>128</v>
      </c>
      <c r="I31" s="32" t="n">
        <v>238</v>
      </c>
      <c r="J31" s="32" t="n">
        <v>184</v>
      </c>
      <c r="K31" s="32" t="n">
        <v>274</v>
      </c>
      <c r="L31" s="32" t="n">
        <v>283</v>
      </c>
      <c r="M31" s="32" t="n">
        <v>281</v>
      </c>
      <c r="N31" s="32" t="n">
        <v>170</v>
      </c>
    </row>
    <row r="32">
      <c r="A32" s="4" t="n">
        <v>30</v>
      </c>
      <c r="B32" s="17" t="inlineStr">
        <is>
          <t>MG</t>
        </is>
      </c>
      <c r="C32" s="17" t="inlineStr">
        <is>
          <t>4 X-Range</t>
        </is>
      </c>
      <c r="D32" s="17" t="inlineStr">
        <is>
          <t>BEV</t>
        </is>
      </c>
      <c r="E32" s="23" t="n">
        <v>36</v>
      </c>
      <c r="F32" s="21" t="n">
        <v>4.86</v>
      </c>
      <c r="G32" s="31">
        <f>IFERROR(H32,0)+IFERROR(I32,0)+IFERROR(J32,0)+IFERROR(K32,0)+IFERROR(L32,0)+IFERROR(M32,0)+IFERROR(N32,0)</f>
        <v/>
      </c>
      <c r="H32" s="32" t="n">
        <v>57</v>
      </c>
      <c r="I32" s="32" t="n">
        <v>1697</v>
      </c>
      <c r="J32" s="32" t="n">
        <v>2720</v>
      </c>
      <c r="K32" s="32" t="n">
        <v>1662</v>
      </c>
      <c r="L32" s="32" t="n"/>
      <c r="M32" s="32" t="n"/>
      <c r="N32" s="32" t="n"/>
    </row>
    <row r="33">
      <c r="A33" s="4" t="n">
        <v>31</v>
      </c>
      <c r="B33" s="17" t="inlineStr">
        <is>
          <t>Seres</t>
        </is>
      </c>
      <c r="C33" s="17" t="inlineStr">
        <is>
          <t>M5</t>
        </is>
      </c>
      <c r="D33" s="17" t="inlineStr">
        <is>
          <t>BEV</t>
        </is>
      </c>
      <c r="E33" s="23" t="n">
        <v>35</v>
      </c>
      <c r="F33" s="21" t="n">
        <v>4.75</v>
      </c>
      <c r="G33" s="31">
        <f>IFERROR(H33,0)+IFERROR(I33,0)+IFERROR(J33,0)+IFERROR(K33,0)+IFERROR(L33,0)+IFERROR(M33,0)+IFERROR(N33,0)</f>
        <v/>
      </c>
      <c r="H33" s="32" t="n"/>
      <c r="I33" s="32" t="n">
        <v>1719</v>
      </c>
      <c r="J33" s="32" t="n">
        <v>1419</v>
      </c>
      <c r="K33" s="32" t="n">
        <v>164</v>
      </c>
      <c r="L33" s="32" t="n"/>
      <c r="M33" s="32" t="n"/>
      <c r="N33" s="32" t="n"/>
    </row>
    <row r="34">
      <c r="A34" s="4" t="n">
        <v>32</v>
      </c>
      <c r="B34" s="17" t="inlineStr">
        <is>
          <t>Hyundai</t>
        </is>
      </c>
      <c r="C34" s="17" t="inlineStr">
        <is>
          <t xml:space="preserve">Kona </t>
        </is>
      </c>
      <c r="D34" s="17" t="inlineStr">
        <is>
          <t>HEV</t>
        </is>
      </c>
      <c r="E34" s="23" t="n">
        <v>34.5</v>
      </c>
      <c r="F34" s="21" t="n">
        <v>4.695</v>
      </c>
      <c r="G34" s="31">
        <f>IFERROR(H34,0)+IFERROR(I34,0)+IFERROR(J34,0)+IFERROR(K34,0)+IFERROR(L34,0)+IFERROR(M34,0)+IFERROR(N34,0)</f>
        <v/>
      </c>
      <c r="H34" s="32" t="n">
        <v>5127</v>
      </c>
      <c r="I34" s="32" t="n">
        <v>11759</v>
      </c>
      <c r="J34" s="32" t="n">
        <v>6373</v>
      </c>
      <c r="K34" s="32" t="n">
        <v>4696</v>
      </c>
      <c r="L34" s="32" t="n">
        <v>4375</v>
      </c>
      <c r="M34" s="32" t="n">
        <v>3620</v>
      </c>
      <c r="N34" s="32" t="n">
        <v>3074</v>
      </c>
    </row>
    <row r="35">
      <c r="A35" s="4" t="n">
        <v>33</v>
      </c>
      <c r="B35" s="17" t="inlineStr">
        <is>
          <t>Seres</t>
        </is>
      </c>
      <c r="C35" s="17" t="inlineStr">
        <is>
          <t>M5 awd+rwd</t>
        </is>
      </c>
      <c r="D35" s="17" t="inlineStr">
        <is>
          <t>BEV</t>
        </is>
      </c>
      <c r="E35" s="23" t="n">
        <v>33.5</v>
      </c>
      <c r="F35" s="21" t="n">
        <v>4.585</v>
      </c>
      <c r="G35" s="31">
        <f>IFERROR(H35,0)+IFERROR(I35,0)+IFERROR(J35,0)+IFERROR(K35,0)+IFERROR(L35,0)+IFERROR(M35,0)+IFERROR(N35,0)</f>
        <v/>
      </c>
      <c r="H35" s="32" t="n"/>
      <c r="I35" s="32" t="n">
        <v>1719</v>
      </c>
      <c r="J35" s="32" t="n">
        <v>1419</v>
      </c>
      <c r="K35" s="32" t="n">
        <v>164</v>
      </c>
      <c r="L35" s="32" t="n"/>
      <c r="M35" s="32" t="n"/>
      <c r="N35" s="32" t="n"/>
    </row>
    <row r="36">
      <c r="A36" s="4" t="n">
        <v>34</v>
      </c>
      <c r="B36" s="17" t="inlineStr">
        <is>
          <t>Hyundai</t>
        </is>
      </c>
      <c r="C36" s="17" t="inlineStr">
        <is>
          <t xml:space="preserve">Kona </t>
        </is>
      </c>
      <c r="D36" s="17" t="inlineStr">
        <is>
          <t>BEV</t>
        </is>
      </c>
      <c r="E36" s="23" t="n">
        <v>30.9</v>
      </c>
      <c r="F36" s="21" t="n">
        <v>4.299</v>
      </c>
      <c r="G36" s="31">
        <f>IFERROR(H36,0)+IFERROR(I36,0)+IFERROR(J36,0)+IFERROR(K36,0)+IFERROR(L36,0)+IFERROR(M36,0)+IFERROR(N36,0)</f>
        <v/>
      </c>
      <c r="H36" s="32" t="n"/>
      <c r="I36" s="32" t="n">
        <v>11759</v>
      </c>
      <c r="J36" s="32" t="n"/>
      <c r="K36" s="32" t="n">
        <v>1323</v>
      </c>
      <c r="L36" s="32" t="n"/>
      <c r="M36" s="32" t="n"/>
      <c r="N36" s="32" t="n">
        <v>3074</v>
      </c>
    </row>
    <row r="37">
      <c r="A37" s="4" t="n">
        <v>35</v>
      </c>
      <c r="B37" s="17" t="inlineStr">
        <is>
          <t>BMW</t>
        </is>
      </c>
      <c r="C37" s="17" t="inlineStr">
        <is>
          <t>530e</t>
        </is>
      </c>
      <c r="D37" s="17" t="inlineStr">
        <is>
          <t>PHEV</t>
        </is>
      </c>
      <c r="E37" s="23" t="n">
        <v>30.29</v>
      </c>
      <c r="F37" s="21" t="n">
        <v>4.2319</v>
      </c>
      <c r="G37" s="31">
        <f>IFERROR(H37,0)+IFERROR(I37,0)+IFERROR(J37,0)+IFERROR(K37,0)+IFERROR(L37,0)+IFERROR(M37,0)+IFERROR(N37,0)</f>
        <v/>
      </c>
      <c r="H37" s="32" t="n">
        <v>115</v>
      </c>
      <c r="I37" s="32" t="n">
        <v>279</v>
      </c>
      <c r="J37" s="32" t="n">
        <v>210</v>
      </c>
      <c r="K37" s="32" t="n">
        <v>281</v>
      </c>
      <c r="L37" s="32" t="n">
        <v>328</v>
      </c>
      <c r="M37" s="32" t="n">
        <v>250</v>
      </c>
      <c r="N37" s="32" t="n">
        <v>327</v>
      </c>
    </row>
    <row r="38">
      <c r="A38" s="4" t="n">
        <v>36</v>
      </c>
      <c r="B38" s="17" t="inlineStr">
        <is>
          <t>Volvo</t>
        </is>
      </c>
      <c r="C38" s="17" t="inlineStr">
        <is>
          <t>XC40</t>
        </is>
      </c>
      <c r="D38" s="17" t="inlineStr">
        <is>
          <t>PHEV</t>
        </is>
      </c>
      <c r="E38" s="23" t="n">
        <v>30</v>
      </c>
      <c r="F38" s="21" t="n">
        <v>4.2</v>
      </c>
      <c r="G38" s="31">
        <f>IFERROR(H38,0)+IFERROR(I38,0)+IFERROR(J38,0)+IFERROR(K38,0)+IFERROR(L38,0)+IFERROR(M38,0)+IFERROR(N38,0)</f>
        <v/>
      </c>
      <c r="H38" s="32" t="n">
        <v>172</v>
      </c>
      <c r="I38" s="32" t="n">
        <v>453</v>
      </c>
      <c r="J38" s="32" t="n">
        <v>458</v>
      </c>
      <c r="K38" s="32" t="n">
        <v>908</v>
      </c>
      <c r="L38" s="32" t="n">
        <v>900</v>
      </c>
      <c r="M38" s="32" t="n">
        <v>1180</v>
      </c>
      <c r="N38" s="32" t="n">
        <v>657</v>
      </c>
    </row>
    <row r="39">
      <c r="A39" s="4" t="n">
        <v>37</v>
      </c>
      <c r="B39" s="17" t="inlineStr">
        <is>
          <t>Nissan</t>
        </is>
      </c>
      <c r="C39" s="17" t="inlineStr">
        <is>
          <t>Juke</t>
        </is>
      </c>
      <c r="D39" s="17" t="inlineStr">
        <is>
          <t>HEV</t>
        </is>
      </c>
      <c r="E39" s="23" t="n">
        <v>29.3</v>
      </c>
      <c r="F39" s="21" t="n">
        <v>4.123</v>
      </c>
      <c r="G39" s="31">
        <f>IFERROR(H39,0)+IFERROR(I39,0)+IFERROR(J39,0)+IFERROR(K39,0)+IFERROR(L39,0)+IFERROR(M39,0)+IFERROR(N39,0)</f>
        <v/>
      </c>
      <c r="H39" s="32" t="n">
        <v>621</v>
      </c>
      <c r="I39" s="32" t="n">
        <v>2782</v>
      </c>
      <c r="J39" s="32" t="n">
        <v>1262</v>
      </c>
      <c r="K39" s="32" t="n">
        <v>452</v>
      </c>
      <c r="L39" s="32" t="n">
        <v>397</v>
      </c>
      <c r="M39" s="32" t="n">
        <v>1036</v>
      </c>
      <c r="N39" s="32" t="n">
        <v>540</v>
      </c>
    </row>
    <row r="40">
      <c r="A40" s="4" t="n">
        <v>38</v>
      </c>
      <c r="B40" s="17" t="inlineStr">
        <is>
          <t>Lynk&amp;Co</t>
        </is>
      </c>
      <c r="C40" s="17" t="inlineStr">
        <is>
          <t>01</t>
        </is>
      </c>
      <c r="D40" s="17" t="inlineStr">
        <is>
          <t>PHEV</t>
        </is>
      </c>
      <c r="E40" s="23" t="n">
        <v>28</v>
      </c>
      <c r="F40" s="21" t="n">
        <v>3.98</v>
      </c>
      <c r="G40" s="31">
        <f>IFERROR(H40,0)+IFERROR(I40,0)+IFERROR(J40,0)+IFERROR(K40,0)+IFERROR(L40,0)+IFERROR(M40,0)+IFERROR(N40,0)</f>
        <v/>
      </c>
      <c r="H40" s="32" t="n">
        <v>329</v>
      </c>
      <c r="I40" s="32" t="n">
        <v>269</v>
      </c>
      <c r="J40" s="32" t="n"/>
      <c r="K40" s="32" t="n"/>
      <c r="L40" s="32" t="n"/>
      <c r="M40" s="32" t="n"/>
      <c r="N40" s="32" t="n"/>
    </row>
    <row r="41">
      <c r="A41" s="4" t="n">
        <v>39</v>
      </c>
      <c r="B41" s="17" t="inlineStr">
        <is>
          <t xml:space="preserve">Geely </t>
        </is>
      </c>
      <c r="C41" s="17" t="inlineStr">
        <is>
          <t>EX5</t>
        </is>
      </c>
      <c r="D41" s="17" t="inlineStr">
        <is>
          <t>BEV</t>
        </is>
      </c>
      <c r="E41" s="23" t="n">
        <v>24</v>
      </c>
      <c r="F41" s="21" t="n">
        <v>3.54</v>
      </c>
      <c r="G41" s="31">
        <f>IFERROR(H41,0)+IFERROR(I41,0)+IFERROR(J41,0)+IFERROR(K41,0)+IFERROR(L41,0)+IFERROR(M41,0)+IFERROR(N41,0)</f>
        <v/>
      </c>
      <c r="H41" s="32" t="n">
        <v>987</v>
      </c>
      <c r="I41" s="32" t="n">
        <v>2042</v>
      </c>
      <c r="J41" s="32" t="n"/>
      <c r="K41" s="32" t="n"/>
      <c r="L41" s="32" t="n"/>
      <c r="M41" s="32" t="n"/>
      <c r="N41" s="32" t="n"/>
    </row>
    <row r="42">
      <c r="A42" s="4" t="n">
        <v>40</v>
      </c>
      <c r="B42" s="17" t="inlineStr">
        <is>
          <t>Hyundai</t>
        </is>
      </c>
      <c r="C42" s="17" t="inlineStr">
        <is>
          <t>Sonata</t>
        </is>
      </c>
      <c r="D42" s="17" t="inlineStr">
        <is>
          <t>HEV</t>
        </is>
      </c>
      <c r="E42" s="23" t="n">
        <v>22</v>
      </c>
      <c r="F42" s="21" t="n">
        <v>3.32</v>
      </c>
      <c r="G42" s="31">
        <f>IFERROR(H42,0)+IFERROR(I42,0)+IFERROR(J42,0)+IFERROR(K42,0)+IFERROR(L42,0)+IFERROR(M42,0)+IFERROR(N42,0)</f>
        <v/>
      </c>
      <c r="H42" s="32" t="n">
        <v>478</v>
      </c>
      <c r="I42" s="32" t="n">
        <v>1466</v>
      </c>
      <c r="J42" s="32" t="n">
        <v>579</v>
      </c>
      <c r="K42" s="32" t="n">
        <v>843</v>
      </c>
      <c r="L42" s="32" t="n">
        <v>1934</v>
      </c>
      <c r="M42" s="32" t="n">
        <v>2571</v>
      </c>
      <c r="N42" s="32" t="n">
        <v>409</v>
      </c>
    </row>
    <row r="43">
      <c r="A43" s="4" t="n">
        <v>41</v>
      </c>
      <c r="B43" s="17" t="inlineStr">
        <is>
          <t>MG</t>
        </is>
      </c>
      <c r="C43" s="17" t="inlineStr">
        <is>
          <t>Marvel R RWD</t>
        </is>
      </c>
      <c r="D43" s="17" t="inlineStr">
        <is>
          <t>BEV</t>
        </is>
      </c>
      <c r="E43" s="23" t="n">
        <v>20</v>
      </c>
      <c r="F43" s="21" t="n">
        <v>3.1</v>
      </c>
      <c r="G43" s="31">
        <f>IFERROR(H43,0)+IFERROR(I43,0)+IFERROR(J43,0)+IFERROR(K43,0)+IFERROR(L43,0)+IFERROR(M43,0)+IFERROR(N43,0)</f>
        <v/>
      </c>
      <c r="H43" s="32" t="n"/>
      <c r="I43" s="32" t="n"/>
      <c r="J43" s="32" t="n">
        <v>784</v>
      </c>
      <c r="K43" s="32" t="n">
        <v>370</v>
      </c>
      <c r="L43" s="32" t="n"/>
      <c r="M43" s="32" t="n"/>
      <c r="N43" s="32" t="n"/>
    </row>
    <row r="44">
      <c r="A44" s="4" t="n">
        <v>42</v>
      </c>
      <c r="B44" s="17" t="inlineStr">
        <is>
          <t>Toyota</t>
        </is>
      </c>
      <c r="C44" s="17" t="inlineStr">
        <is>
          <t xml:space="preserve">Yaris </t>
        </is>
      </c>
      <c r="D44" s="17" t="inlineStr">
        <is>
          <t>HEV</t>
        </is>
      </c>
      <c r="E44" s="23" t="n">
        <v>19.5</v>
      </c>
      <c r="F44" s="21" t="n">
        <v>3.045</v>
      </c>
      <c r="G44" s="31">
        <f>IFERROR(H44,0)+IFERROR(I44,0)+IFERROR(J44,0)+IFERROR(K44,0)+IFERROR(L44,0)+IFERROR(M44,0)+IFERROR(N44,0)</f>
        <v/>
      </c>
      <c r="H44" s="32" t="n">
        <v>1143</v>
      </c>
      <c r="I44" s="32" t="n">
        <v>3772</v>
      </c>
      <c r="J44" s="32" t="n">
        <v>2194</v>
      </c>
      <c r="K44" s="32" t="n">
        <v>2174</v>
      </c>
      <c r="L44" s="32" t="n">
        <v>2057</v>
      </c>
      <c r="M44" s="32" t="n">
        <v>5815</v>
      </c>
      <c r="N44" s="32" t="n">
        <v>3557</v>
      </c>
    </row>
    <row r="45">
      <c r="A45" s="4" t="n">
        <v>43</v>
      </c>
      <c r="B45" s="17" t="inlineStr">
        <is>
          <t>Toyota</t>
        </is>
      </c>
      <c r="C45" s="17" t="inlineStr">
        <is>
          <t>Yaris cross</t>
        </is>
      </c>
      <c r="D45" s="17" t="inlineStr">
        <is>
          <t>HEV</t>
        </is>
      </c>
      <c r="E45" s="23" t="n">
        <v>19.5</v>
      </c>
      <c r="F45" s="21" t="n">
        <v>3.045</v>
      </c>
      <c r="G45" s="31">
        <f>IFERROR(H45,0)+IFERROR(I45,0)+IFERROR(J45,0)+IFERROR(K45,0)+IFERROR(L45,0)+IFERROR(M45,0)+IFERROR(N45,0)</f>
        <v/>
      </c>
      <c r="H45" s="32" t="n">
        <v>3344</v>
      </c>
      <c r="I45" s="32" t="n">
        <v>9354</v>
      </c>
      <c r="J45" s="32" t="n">
        <v>7416</v>
      </c>
      <c r="K45" s="32" t="n">
        <v>7206</v>
      </c>
      <c r="L45" s="32" t="n">
        <v>6052</v>
      </c>
      <c r="M45" s="32" t="n">
        <v>620</v>
      </c>
      <c r="N45" s="32" t="n"/>
    </row>
    <row r="46">
      <c r="A46" s="4" t="n">
        <v>44</v>
      </c>
      <c r="B46" s="17" t="inlineStr">
        <is>
          <t>Xpeng</t>
        </is>
      </c>
      <c r="C46" s="17" t="inlineStr">
        <is>
          <t>G6</t>
        </is>
      </c>
      <c r="D46" s="17" t="inlineStr">
        <is>
          <t>BEV</t>
        </is>
      </c>
      <c r="E46" s="23" t="n">
        <v>18</v>
      </c>
      <c r="F46" s="21" t="n">
        <v>2.88</v>
      </c>
      <c r="G46" s="31">
        <f>IFERROR(H46,0)+IFERROR(I46,0)+IFERROR(J46,0)+IFERROR(K46,0)+IFERROR(L46,0)+IFERROR(M46,0)+IFERROR(N46,0)</f>
        <v/>
      </c>
      <c r="H46" s="32" t="n">
        <v>1587</v>
      </c>
      <c r="I46" s="32" t="n">
        <v>4860</v>
      </c>
      <c r="J46" s="32" t="n">
        <v>2811</v>
      </c>
      <c r="K46" s="32" t="n"/>
      <c r="L46" s="32" t="n"/>
      <c r="M46" s="32" t="n"/>
      <c r="N46" s="32" t="n"/>
    </row>
    <row r="47">
      <c r="A47" s="4" t="n">
        <v>45</v>
      </c>
      <c r="B47" s="17" t="inlineStr">
        <is>
          <t>BYD</t>
        </is>
      </c>
      <c r="C47" s="17" t="inlineStr">
        <is>
          <t xml:space="preserve">Sealion 7 </t>
        </is>
      </c>
      <c r="D47" s="17" t="inlineStr">
        <is>
          <t>BEV</t>
        </is>
      </c>
      <c r="E47" s="23" t="n">
        <v>16</v>
      </c>
      <c r="F47" s="21" t="n">
        <v>2.66</v>
      </c>
      <c r="G47" s="31">
        <f>IFERROR(H47,0)+IFERROR(I47,0)+IFERROR(J47,0)+IFERROR(K47,0)+IFERROR(L47,0)+IFERROR(M47,0)+IFERROR(N47,0)</f>
        <v/>
      </c>
      <c r="H47" s="32" t="n">
        <v>197</v>
      </c>
      <c r="I47" s="32" t="n">
        <v>209</v>
      </c>
      <c r="J47" s="32" t="n"/>
      <c r="K47" s="32" t="n"/>
      <c r="L47" s="32" t="n"/>
      <c r="M47" s="32" t="n"/>
      <c r="N47" s="32" t="n"/>
    </row>
    <row r="48">
      <c r="A48" s="4" t="n">
        <v>46</v>
      </c>
      <c r="B48" s="17" t="inlineStr">
        <is>
          <t>Zeekr</t>
        </is>
      </c>
      <c r="C48" s="17" t="inlineStr">
        <is>
          <t>X</t>
        </is>
      </c>
      <c r="D48" s="17" t="inlineStr">
        <is>
          <t>BEV</t>
        </is>
      </c>
      <c r="E48" s="23" t="n">
        <v>16</v>
      </c>
      <c r="F48" s="21" t="n">
        <v>2.66</v>
      </c>
      <c r="G48" s="31">
        <f>IFERROR(H48,0)+IFERROR(I48,0)+IFERROR(J48,0)+IFERROR(K48,0)+IFERROR(L48,0)+IFERROR(M48,0)+IFERROR(N48,0)</f>
        <v/>
      </c>
      <c r="H48" s="32" t="n">
        <v>127</v>
      </c>
      <c r="I48" s="32" t="n">
        <v>759</v>
      </c>
      <c r="J48" s="32" t="n">
        <v>2004</v>
      </c>
      <c r="K48" s="32" t="n"/>
      <c r="L48" s="32" t="n"/>
      <c r="M48" s="32" t="n"/>
      <c r="N48" s="32" t="n"/>
    </row>
    <row r="49">
      <c r="A49" s="4" t="n">
        <v>47</v>
      </c>
      <c r="B49" s="17" t="inlineStr">
        <is>
          <t>Hyundai</t>
        </is>
      </c>
      <c r="C49" s="17" t="inlineStr">
        <is>
          <t>Ioniq 5</t>
        </is>
      </c>
      <c r="D49" s="17" t="inlineStr">
        <is>
          <t>BEV</t>
        </is>
      </c>
      <c r="E49" s="23" t="n">
        <v>15</v>
      </c>
      <c r="F49" s="21" t="n">
        <v>2.55</v>
      </c>
      <c r="G49" s="31">
        <f>IFERROR(H49,0)+IFERROR(I49,0)+IFERROR(J49,0)+IFERROR(K49,0)+IFERROR(L49,0)+IFERROR(M49,0)+IFERROR(N49,0)</f>
        <v/>
      </c>
      <c r="H49" s="32" t="n"/>
      <c r="I49" s="32" t="n">
        <v>1040</v>
      </c>
      <c r="J49" s="32" t="n">
        <v>1286</v>
      </c>
      <c r="K49" s="32" t="n">
        <v>2362</v>
      </c>
      <c r="L49" s="32" t="n">
        <v>1783</v>
      </c>
      <c r="M49" s="32" t="n">
        <v>167</v>
      </c>
      <c r="N49" s="32" t="n"/>
    </row>
    <row r="50">
      <c r="A50" s="4" t="n">
        <v>48</v>
      </c>
      <c r="B50" s="17" t="inlineStr">
        <is>
          <t>BMW</t>
        </is>
      </c>
      <c r="C50" s="17" t="inlineStr">
        <is>
          <t>iX3</t>
        </is>
      </c>
      <c r="D50" s="17" t="inlineStr">
        <is>
          <t>BEV</t>
        </is>
      </c>
      <c r="E50" s="23" t="n">
        <v>14</v>
      </c>
      <c r="F50" s="21" t="n">
        <v>2.44</v>
      </c>
      <c r="G50" s="31">
        <f>IFERROR(H50,0)+IFERROR(I50,0)+IFERROR(J50,0)+IFERROR(K50,0)+IFERROR(L50,0)+IFERROR(M50,0)+IFERROR(N50,0)</f>
        <v/>
      </c>
      <c r="H50" s="32" t="n"/>
      <c r="I50" s="32" t="n"/>
      <c r="J50" s="32" t="n"/>
      <c r="K50" s="32" t="n">
        <v>57</v>
      </c>
      <c r="L50" s="32" t="n">
        <v>130</v>
      </c>
      <c r="M50" s="32" t="n"/>
      <c r="N50" s="32" t="n">
        <v>155</v>
      </c>
    </row>
    <row r="51">
      <c r="A51" s="4" t="n">
        <v>49</v>
      </c>
      <c r="B51" s="17" t="inlineStr">
        <is>
          <t>BYD</t>
        </is>
      </c>
      <c r="C51" s="17" t="inlineStr">
        <is>
          <t>Atto 3</t>
        </is>
      </c>
      <c r="D51" s="17" t="inlineStr">
        <is>
          <t>BEV</t>
        </is>
      </c>
      <c r="E51" s="23" t="n">
        <v>12</v>
      </c>
      <c r="F51" s="21" t="n">
        <v>2.22</v>
      </c>
      <c r="G51" s="31">
        <f>IFERROR(H51,0)+IFERROR(I51,0)+IFERROR(J51,0)+IFERROR(K51,0)+IFERROR(L51,0)+IFERROR(M51,0)+IFERROR(N51,0)</f>
        <v/>
      </c>
      <c r="H51" s="32" t="n"/>
      <c r="I51" s="32" t="n">
        <v>5436</v>
      </c>
      <c r="J51" s="32" t="n">
        <v>10657</v>
      </c>
      <c r="K51" s="32" t="n">
        <v>14230</v>
      </c>
      <c r="L51" s="32" t="n">
        <v>3715</v>
      </c>
      <c r="M51" s="32" t="n"/>
      <c r="N51" s="32" t="n"/>
    </row>
    <row r="52">
      <c r="A52" s="4" t="n">
        <v>50</v>
      </c>
      <c r="B52" s="17" t="inlineStr">
        <is>
          <t>Honda</t>
        </is>
      </c>
      <c r="C52" s="17" t="inlineStr">
        <is>
          <t>Accord</t>
        </is>
      </c>
      <c r="D52" s="17" t="inlineStr">
        <is>
          <t>HEV</t>
        </is>
      </c>
      <c r="E52" s="23" t="n">
        <v>10</v>
      </c>
      <c r="F52" s="21" t="n">
        <v>2</v>
      </c>
      <c r="G52" s="31">
        <f>IFERROR(H52,0)+IFERROR(I52,0)+IFERROR(J52,0)+IFERROR(K52,0)+IFERROR(L52,0)+IFERROR(M52,0)+IFERROR(N52,0)</f>
        <v/>
      </c>
      <c r="H52" s="32" t="n"/>
      <c r="I52" s="32" t="n"/>
      <c r="J52" s="32" t="n"/>
      <c r="K52" s="32" t="n">
        <v>7</v>
      </c>
      <c r="L52" s="32" t="n">
        <v>3</v>
      </c>
      <c r="M52" s="32" t="n">
        <v>53</v>
      </c>
      <c r="N52" s="32" t="n">
        <v>44</v>
      </c>
    </row>
    <row r="53">
      <c r="A53" s="4" t="n">
        <v>51</v>
      </c>
      <c r="B53" s="17" t="inlineStr">
        <is>
          <t>SKODA</t>
        </is>
      </c>
      <c r="C53" s="17" t="inlineStr">
        <is>
          <t>Eniaq</t>
        </is>
      </c>
      <c r="D53" s="17" t="inlineStr">
        <is>
          <t>BEV</t>
        </is>
      </c>
      <c r="E53" s="23" t="n">
        <v>10</v>
      </c>
      <c r="F53" s="21" t="n">
        <v>2</v>
      </c>
      <c r="G53" s="31">
        <f>IFERROR(H53,0)+IFERROR(I53,0)+IFERROR(J53,0)+IFERROR(K53,0)+IFERROR(L53,0)+IFERROR(M53,0)+IFERROR(N53,0)</f>
        <v/>
      </c>
      <c r="H53" s="32" t="n"/>
      <c r="I53" s="32" t="n"/>
      <c r="J53" s="32" t="n">
        <v>774</v>
      </c>
      <c r="K53" s="32" t="n">
        <v>1779</v>
      </c>
      <c r="L53" s="32" t="n">
        <v>1331</v>
      </c>
      <c r="M53" s="32" t="n">
        <v>38</v>
      </c>
      <c r="N53" s="32" t="n"/>
    </row>
    <row r="54">
      <c r="A54" s="4" t="n">
        <v>52</v>
      </c>
      <c r="B54" s="17" t="inlineStr">
        <is>
          <t>Geely</t>
        </is>
      </c>
      <c r="C54" s="17" t="inlineStr">
        <is>
          <t>Geometry C - 480PURE</t>
        </is>
      </c>
      <c r="D54" s="17" t="inlineStr">
        <is>
          <t>BEV</t>
        </is>
      </c>
      <c r="E54" s="23" t="n">
        <v>9</v>
      </c>
      <c r="F54" s="21" t="n">
        <v>1.89</v>
      </c>
      <c r="G54" s="31">
        <f>IFERROR(H54,0)+IFERROR(I54,0)+IFERROR(J54,0)+IFERROR(K54,0)+IFERROR(L54,0)+IFERROR(M54,0)+IFERROR(N54,0)</f>
        <v/>
      </c>
      <c r="H54" s="32" t="n"/>
      <c r="I54" s="32" t="n">
        <v>1501</v>
      </c>
      <c r="J54" s="32" t="n">
        <v>4445</v>
      </c>
      <c r="K54" s="32" t="n">
        <v>7111</v>
      </c>
      <c r="L54" s="32" t="n">
        <v>6826</v>
      </c>
      <c r="M54" s="32" t="n">
        <v>162</v>
      </c>
      <c r="N54" s="32" t="n"/>
    </row>
    <row r="55">
      <c r="A55" s="4" t="n">
        <v>53</v>
      </c>
      <c r="B55" s="17" t="inlineStr">
        <is>
          <t>Peugeot</t>
        </is>
      </c>
      <c r="C55" s="17" t="inlineStr">
        <is>
          <t>E208</t>
        </is>
      </c>
      <c r="D55" s="17" t="inlineStr">
        <is>
          <t>BEV</t>
        </is>
      </c>
      <c r="E55" s="23" t="n">
        <v>6</v>
      </c>
      <c r="F55" s="21" t="n">
        <v>1.56</v>
      </c>
      <c r="G55" s="31">
        <f>IFERROR(H55,0)+IFERROR(I55,0)+IFERROR(J55,0)+IFERROR(K55,0)+IFERROR(L55,0)+IFERROR(M55,0)+IFERROR(N55,0)</f>
        <v/>
      </c>
      <c r="H55" s="32" t="n"/>
      <c r="I55" s="32" t="n">
        <v>402</v>
      </c>
      <c r="J55" s="32" t="n">
        <v>13</v>
      </c>
      <c r="K55" s="32" t="n">
        <v>28</v>
      </c>
      <c r="L55" s="32" t="n"/>
      <c r="M55" s="32" t="n"/>
      <c r="N55" s="32" t="n"/>
    </row>
    <row r="56">
      <c r="A56" s="4" t="n">
        <v>54</v>
      </c>
      <c r="B56" s="17" t="inlineStr">
        <is>
          <t>LeapMotor</t>
        </is>
      </c>
      <c r="C56" s="17" t="inlineStr">
        <is>
          <t>C10</t>
        </is>
      </c>
      <c r="D56" s="17" t="inlineStr">
        <is>
          <t>BEV</t>
        </is>
      </c>
      <c r="E56" s="23" t="n">
        <v>4.5</v>
      </c>
      <c r="F56" s="21" t="n">
        <v>1.395</v>
      </c>
      <c r="G56" s="31">
        <f>IFERROR(H56,0)+IFERROR(I56,0)+IFERROR(J56,0)+IFERROR(K56,0)+IFERROR(L56,0)+IFERROR(M56,0)+IFERROR(N56,0)</f>
        <v/>
      </c>
      <c r="H56" s="32" t="n">
        <v>452</v>
      </c>
      <c r="I56" s="32" t="n">
        <v>1103</v>
      </c>
      <c r="J56" s="32" t="n">
        <v>11</v>
      </c>
      <c r="K56" s="32" t="n"/>
      <c r="L56" s="32" t="n"/>
      <c r="M56" s="32" t="n"/>
      <c r="N56" s="32" t="n"/>
    </row>
    <row r="57">
      <c r="A57" s="4" t="n">
        <v>55</v>
      </c>
      <c r="B57" s="17" t="inlineStr">
        <is>
          <t>Volkswagen</t>
        </is>
      </c>
      <c r="C57" s="17" t="inlineStr">
        <is>
          <t>ID4 2x4</t>
        </is>
      </c>
      <c r="D57" s="17" t="inlineStr">
        <is>
          <t>BEV</t>
        </is>
      </c>
      <c r="E57" s="23" t="n">
        <v>4</v>
      </c>
      <c r="F57" s="21" t="n">
        <v>1.34</v>
      </c>
      <c r="G57" s="31">
        <f>IFERROR(H57,0)+IFERROR(I57,0)+IFERROR(J57,0)+IFERROR(K57,0)+IFERROR(L57,0)+IFERROR(M57,0)+IFERROR(N57,0)</f>
        <v/>
      </c>
      <c r="H57" s="32" t="n"/>
      <c r="I57" s="32" t="n"/>
      <c r="J57" s="32" t="n">
        <v>580</v>
      </c>
      <c r="K57" s="32" t="n">
        <v>621</v>
      </c>
      <c r="L57" s="32" t="n">
        <v>32</v>
      </c>
      <c r="M57" s="32" t="n"/>
      <c r="N57" s="32" t="n"/>
    </row>
    <row r="58">
      <c r="A58" s="4" t="n">
        <v>56</v>
      </c>
      <c r="B58" s="17" t="inlineStr">
        <is>
          <t xml:space="preserve">MG </t>
        </is>
      </c>
      <c r="C58" s="17" t="n">
        <v>5</v>
      </c>
      <c r="D58" s="17" t="inlineStr">
        <is>
          <t>BEV</t>
        </is>
      </c>
      <c r="E58" s="23" t="n">
        <v>3.1</v>
      </c>
      <c r="F58" s="21" t="n">
        <v>1.241</v>
      </c>
      <c r="G58" s="31">
        <f>IFERROR(H58,0)+IFERROR(I58,0)+IFERROR(J58,0)+IFERROR(K58,0)+IFERROR(L58,0)+IFERROR(M58,0)+IFERROR(N58,0)</f>
        <v/>
      </c>
      <c r="H58" s="32" t="n"/>
      <c r="I58" s="32" t="n"/>
      <c r="J58" s="32" t="n"/>
      <c r="K58" s="32" t="n">
        <v>98</v>
      </c>
      <c r="L58" s="32" t="n"/>
      <c r="M58" s="32" t="n"/>
      <c r="N58" s="32" t="n"/>
    </row>
    <row r="59">
      <c r="A59" s="4" t="n">
        <v>57</v>
      </c>
      <c r="B59" s="17" t="inlineStr">
        <is>
          <t>MG</t>
        </is>
      </c>
      <c r="C59" s="17" t="inlineStr">
        <is>
          <t>ZS</t>
        </is>
      </c>
      <c r="D59" s="17" t="inlineStr">
        <is>
          <t>BEV</t>
        </is>
      </c>
      <c r="E59" s="23" t="n">
        <v>3</v>
      </c>
      <c r="F59" s="21" t="n">
        <v>1.23</v>
      </c>
      <c r="G59" s="31">
        <f>IFERROR(H59,0)+IFERROR(I59,0)+IFERROR(J59,0)+IFERROR(K59,0)+IFERROR(L59,0)+IFERROR(M59,0)+IFERROR(N59,0)</f>
        <v/>
      </c>
      <c r="H59" s="32" t="n">
        <v>617</v>
      </c>
      <c r="I59" s="32" t="n"/>
      <c r="J59" s="32" t="n">
        <v>2027</v>
      </c>
      <c r="K59" s="32" t="n">
        <v>706</v>
      </c>
      <c r="L59" s="32" t="n">
        <v>35</v>
      </c>
      <c r="M59" s="32" t="n">
        <v>1681</v>
      </c>
      <c r="N59" s="32" t="n">
        <v>1464</v>
      </c>
    </row>
    <row r="60">
      <c r="A60" s="4" t="n">
        <v>58</v>
      </c>
      <c r="B60" s="17" t="inlineStr">
        <is>
          <t>Eveasy</t>
        </is>
      </c>
      <c r="C60" s="17" t="inlineStr">
        <is>
          <t>Limo</t>
        </is>
      </c>
      <c r="D60" s="17" t="inlineStr">
        <is>
          <t>BEV</t>
        </is>
      </c>
      <c r="E60" s="23" t="n">
        <v>2.4</v>
      </c>
      <c r="F60" s="21" t="n">
        <v>1.164</v>
      </c>
      <c r="G60" s="31">
        <f>IFERROR(H60,0)+IFERROR(I60,0)+IFERROR(J60,0)+IFERROR(K60,0)+IFERROR(L60,0)+IFERROR(M60,0)+IFERROR(N60,0)</f>
        <v/>
      </c>
      <c r="H60" s="32" t="n"/>
      <c r="I60" s="32" t="n"/>
      <c r="J60" s="32" t="n"/>
      <c r="K60" s="32" t="n"/>
      <c r="L60" s="32" t="n"/>
      <c r="M60" s="32" t="n"/>
      <c r="N60" s="32" t="n"/>
    </row>
    <row r="61">
      <c r="A61" s="4" t="n">
        <v>59</v>
      </c>
      <c r="B61" s="17" t="inlineStr">
        <is>
          <t>Seres</t>
        </is>
      </c>
      <c r="C61" s="17" t="n">
        <v>3</v>
      </c>
      <c r="D61" s="17" t="inlineStr">
        <is>
          <t>BEV</t>
        </is>
      </c>
      <c r="E61" s="23" t="n">
        <v>0</v>
      </c>
      <c r="F61" s="21" t="n">
        <v>0.9</v>
      </c>
      <c r="G61" s="31">
        <f>IFERROR(H61,0)+IFERROR(I61,0)+IFERROR(J61,0)+IFERROR(K61,0)+IFERROR(L61,0)+IFERROR(M61,0)+IFERROR(N61,0)</f>
        <v/>
      </c>
      <c r="H61" s="32" t="n"/>
      <c r="I61" s="32" t="n"/>
      <c r="J61" s="32" t="n"/>
      <c r="K61" s="32" t="n"/>
      <c r="L61" s="32" t="n"/>
      <c r="M61" s="32" t="n"/>
      <c r="N61" s="32" t="n"/>
    </row>
    <row r="62">
      <c r="A62" s="4" t="n">
        <v>60</v>
      </c>
      <c r="B62" s="17" t="inlineStr">
        <is>
          <t>Toyota</t>
        </is>
      </c>
      <c r="C62" s="17" t="inlineStr">
        <is>
          <t>CHR</t>
        </is>
      </c>
      <c r="D62" s="17" t="inlineStr">
        <is>
          <t>HEV</t>
        </is>
      </c>
      <c r="E62" s="23" t="n">
        <v>0</v>
      </c>
      <c r="F62" s="21" t="n">
        <v>0.9</v>
      </c>
      <c r="G62" s="31">
        <f>IFERROR(H62,0)+IFERROR(I62,0)+IFERROR(J62,0)+IFERROR(K62,0)+IFERROR(L62,0)+IFERROR(M62,0)+IFERROR(N62,0)</f>
        <v/>
      </c>
      <c r="H62" s="32" t="n">
        <v>182</v>
      </c>
      <c r="I62" s="32" t="n">
        <v>652</v>
      </c>
      <c r="J62" s="32" t="n">
        <v>3288</v>
      </c>
      <c r="K62" s="32" t="n">
        <v>3256</v>
      </c>
      <c r="L62" s="32" t="n">
        <v>3436</v>
      </c>
      <c r="M62" s="32" t="n">
        <v>5749</v>
      </c>
      <c r="N62" s="32" t="n">
        <v>4727</v>
      </c>
    </row>
    <row r="63">
      <c r="A63" s="4" t="n">
        <v>61</v>
      </c>
      <c r="B63" s="17" t="inlineStr">
        <is>
          <t>Volvo</t>
        </is>
      </c>
      <c r="C63" s="17" t="inlineStr">
        <is>
          <t>EX30</t>
        </is>
      </c>
      <c r="D63" s="17" t="inlineStr">
        <is>
          <t>BEV</t>
        </is>
      </c>
      <c r="E63" s="23" t="n">
        <v>0</v>
      </c>
      <c r="F63" s="21" t="n">
        <v>0.9</v>
      </c>
      <c r="G63" s="31">
        <f>IFERROR(H63,0)+IFERROR(I63,0)+IFERROR(J63,0)+IFERROR(K63,0)+IFERROR(L63,0)+IFERROR(M63,0)+IFERROR(N63,0)</f>
        <v/>
      </c>
      <c r="H63" s="32" t="n">
        <v>26</v>
      </c>
      <c r="I63" s="32" t="n">
        <v>636</v>
      </c>
      <c r="J63" s="32" t="n">
        <v>628</v>
      </c>
      <c r="K63" s="32" t="n"/>
      <c r="L63" s="32" t="n"/>
      <c r="M63" s="32" t="n"/>
      <c r="N63" s="32" t="n"/>
    </row>
    <row r="64">
      <c r="A64" s="4" t="n">
        <v>62</v>
      </c>
      <c r="B64" s="17" t="inlineStr">
        <is>
          <t>Zeekr</t>
        </is>
      </c>
      <c r="C64" s="24" t="inlineStr">
        <is>
          <t>001</t>
        </is>
      </c>
      <c r="D64" s="17" t="inlineStr">
        <is>
          <t>BEV</t>
        </is>
      </c>
      <c r="E64" s="23" t="n">
        <v>0</v>
      </c>
      <c r="F64" s="21" t="n">
        <v>0.9</v>
      </c>
      <c r="G64" s="31">
        <f>IFERROR(H64,0)+IFERROR(I64,0)+IFERROR(J64,0)+IFERROR(K64,0)+IFERROR(L64,0)+IFERROR(M64,0)+IFERROR(N64,0)</f>
        <v/>
      </c>
      <c r="H64" s="32" t="n">
        <v>86</v>
      </c>
      <c r="I64" s="32" t="n">
        <v>595</v>
      </c>
      <c r="J64" s="32" t="n">
        <v>616</v>
      </c>
      <c r="K64" s="32" t="n">
        <v>3</v>
      </c>
      <c r="L64" s="32" t="n"/>
      <c r="M64" s="32" t="n"/>
      <c r="N64" s="32" t="n"/>
    </row>
    <row r="65">
      <c r="A65" s="4" t="n">
        <v>63</v>
      </c>
      <c r="B65" s="17" t="inlineStr">
        <is>
          <t>Zeekr</t>
        </is>
      </c>
      <c r="C65" s="17" t="inlineStr">
        <is>
          <t>7x</t>
        </is>
      </c>
      <c r="D65" s="17" t="inlineStr">
        <is>
          <t>BEV</t>
        </is>
      </c>
      <c r="E65" s="23" t="n">
        <v>0</v>
      </c>
      <c r="F65" s="21" t="n">
        <v>0.9</v>
      </c>
      <c r="G65" s="31">
        <f>IFERROR(H65,0)+IFERROR(I65,0)+IFERROR(J65,0)+IFERROR(K65,0)+IFERROR(L65,0)+IFERROR(M65,0)+IFERROR(N65,0)</f>
        <v/>
      </c>
      <c r="H65" s="32" t="n">
        <v>579</v>
      </c>
      <c r="I65" s="32" t="n">
        <v>706</v>
      </c>
      <c r="J65" s="32" t="n"/>
      <c r="K65" s="32" t="n"/>
      <c r="L65" s="32" t="n"/>
      <c r="M65" s="32" t="n"/>
      <c r="N65" s="32" t="n"/>
    </row>
  </sheetData>
  <dataValidations disablePrompts="1" count="1">
    <dataValidation sqref="D4:D8 D10:D21 D23:D25 D27 D30:D31 D35 D37 D41:D43 D50:D51 D54:D55 D57:D61" showDropDown="0" showInputMessage="1" showErrorMessage="1" allowBlank="1" type="list">
      <formula1>"HEV, PHEV, BEV, ICE"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5200FFED-4CC7-488A-A266-DEA796922D67}">
            <x14:iconSet custom="1">
              <x14:cfvo type="percent">
                <xm:f>0</xm:f>
              </x14:cfvo>
              <x14:cfvo type="num">
                <xm:f>4</xm:f>
              </x14:cfvo>
              <x14:cfvo type="num">
                <xm:f>7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F3:F65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5"/>
  <sheetViews>
    <sheetView tabSelected="1" workbookViewId="0">
      <selection activeCell="O17" sqref="O17"/>
    </sheetView>
  </sheetViews>
  <sheetFormatPr baseColWidth="8" defaultRowHeight="14.5"/>
  <cols>
    <col width="3.7265625" customWidth="1" style="4" min="1" max="1"/>
    <col width="13.7265625" customWidth="1" min="2" max="2"/>
    <col width="21" bestFit="1" customWidth="1" min="3" max="3"/>
    <col width="11" customWidth="1" min="5" max="5"/>
    <col width="16.26953125" customWidth="1" min="6" max="6"/>
    <col width="14.453125" customWidth="1" min="7" max="7"/>
    <col width="8.90625" customWidth="1" min="8" max="8"/>
  </cols>
  <sheetData>
    <row r="1">
      <c r="B1" s="18" t="inlineStr">
        <is>
          <t>Intrinsic field values (without EMVY system)</t>
        </is>
      </c>
    </row>
    <row r="2" ht="29" customHeight="1">
      <c r="A2" s="4" t="inlineStr">
        <is>
          <t>#</t>
        </is>
      </c>
      <c r="B2" s="18" t="inlineStr">
        <is>
          <t>Vendor</t>
        </is>
      </c>
      <c r="C2" s="18" t="inlineStr">
        <is>
          <t>Model</t>
        </is>
      </c>
      <c r="D2" s="19" t="inlineStr">
        <is>
          <t>Type</t>
        </is>
      </c>
      <c r="E2" s="19" t="inlineStr">
        <is>
          <t>Max MF</t>
        </is>
      </c>
      <c r="F2" s="20" t="inlineStr">
        <is>
          <t>Average Annual Exposure (AAE)</t>
        </is>
      </c>
      <c r="G2" s="29" t="inlineStr">
        <is>
          <t>TAM (cars)</t>
        </is>
      </c>
      <c r="H2" s="29" t="inlineStr">
        <is>
          <t>2026</t>
        </is>
      </c>
      <c r="I2" s="29" t="inlineStr">
        <is>
          <t>2025</t>
        </is>
      </c>
      <c r="J2" s="29" t="inlineStr">
        <is>
          <t>2024</t>
        </is>
      </c>
      <c r="K2" s="29" t="inlineStr">
        <is>
          <t>2023</t>
        </is>
      </c>
      <c r="L2" s="29" t="inlineStr">
        <is>
          <t>2022</t>
        </is>
      </c>
    </row>
    <row r="3">
      <c r="A3" s="4" t="n">
        <v>1</v>
      </c>
      <c r="B3" s="17" t="inlineStr">
        <is>
          <t>Chery</t>
        </is>
      </c>
      <c r="C3" s="17" t="inlineStr">
        <is>
          <t>Tiggo8pro</t>
        </is>
      </c>
      <c r="D3" s="17" t="inlineStr">
        <is>
          <t>PHEV</t>
        </is>
      </c>
      <c r="E3" s="23" t="n">
        <v>249</v>
      </c>
      <c r="F3" s="22" t="n">
        <v>28.29</v>
      </c>
      <c r="G3">
        <f>SUM(Table22[[#This Row],[2026]:[2022]])</f>
        <v/>
      </c>
      <c r="H3" t="n">
        <v>2932</v>
      </c>
      <c r="I3" t="n">
        <v>8374</v>
      </c>
      <c r="J3" t="n">
        <v>0</v>
      </c>
      <c r="K3" t="n">
        <v>0</v>
      </c>
      <c r="L3" t="n">
        <v>0</v>
      </c>
    </row>
    <row r="4">
      <c r="A4" s="4" t="n">
        <v>2</v>
      </c>
      <c r="B4" s="17" t="inlineStr">
        <is>
          <t>Chrysler</t>
        </is>
      </c>
      <c r="C4" s="17" t="inlineStr">
        <is>
          <t>Wrangler 4xe sahara</t>
        </is>
      </c>
      <c r="D4" s="17" t="inlineStr">
        <is>
          <t>PHEV</t>
        </is>
      </c>
      <c r="E4" s="23" t="n">
        <v>224</v>
      </c>
      <c r="F4" s="21" t="n">
        <v>25.54</v>
      </c>
      <c r="G4">
        <f>SUM(Table22[[#This Row],[2026]:[2022]])</f>
        <v/>
      </c>
    </row>
    <row r="5">
      <c r="A5" s="4" t="n">
        <v>3</v>
      </c>
      <c r="B5" s="17" t="inlineStr">
        <is>
          <t>Jaecoo</t>
        </is>
      </c>
      <c r="C5" s="17" t="n">
        <v>8</v>
      </c>
      <c r="D5" s="17" t="inlineStr">
        <is>
          <t>PHEV</t>
        </is>
      </c>
      <c r="E5" s="23" t="n">
        <v>201</v>
      </c>
      <c r="F5" s="21" t="n">
        <v>23.01</v>
      </c>
      <c r="G5">
        <f>SUM(Table22[[#This Row],[2026]:[2022]])</f>
        <v/>
      </c>
      <c r="H5" t="n">
        <v>3634</v>
      </c>
      <c r="I5" t="n">
        <v>93</v>
      </c>
      <c r="J5" t="n">
        <v>0</v>
      </c>
      <c r="K5" t="n">
        <v>0</v>
      </c>
      <c r="L5" t="n">
        <v>0</v>
      </c>
    </row>
    <row r="6">
      <c r="A6" s="4" t="n">
        <v>4</v>
      </c>
      <c r="B6" s="17" t="inlineStr">
        <is>
          <t>MG</t>
        </is>
      </c>
      <c r="C6" s="17" t="inlineStr">
        <is>
          <t>HS HYBRID+</t>
        </is>
      </c>
      <c r="D6" s="17" t="inlineStr">
        <is>
          <t>HEV</t>
        </is>
      </c>
      <c r="E6" s="23" t="n">
        <v>190</v>
      </c>
      <c r="F6" s="21" t="n">
        <v>21.8</v>
      </c>
      <c r="G6">
        <f>SUM(Table22[[#This Row],[2026]:[2022]])</f>
        <v/>
      </c>
      <c r="H6" t="n">
        <v>491</v>
      </c>
      <c r="I6" t="n">
        <v>118</v>
      </c>
      <c r="J6" t="n">
        <v>0</v>
      </c>
      <c r="K6" t="n">
        <v>0</v>
      </c>
      <c r="L6" t="n">
        <v>0</v>
      </c>
    </row>
    <row r="7">
      <c r="A7" s="4" t="n">
        <v>5</v>
      </c>
      <c r="B7" s="17" t="inlineStr">
        <is>
          <t>Omoda</t>
        </is>
      </c>
      <c r="C7" s="17" t="n">
        <v>9</v>
      </c>
      <c r="D7" s="17" t="inlineStr">
        <is>
          <t>PHEV</t>
        </is>
      </c>
      <c r="E7" s="23" t="n">
        <v>168</v>
      </c>
      <c r="F7" s="21" t="n">
        <v>19.38</v>
      </c>
      <c r="G7">
        <f>SUM(Table22[[#This Row],[2026]:[2022]])</f>
        <v/>
      </c>
      <c r="H7" t="n">
        <v>487</v>
      </c>
      <c r="I7" t="n">
        <v>23</v>
      </c>
      <c r="J7" t="n">
        <v>0</v>
      </c>
      <c r="K7" t="n">
        <v>0</v>
      </c>
      <c r="L7" t="n">
        <v>0</v>
      </c>
    </row>
    <row r="8">
      <c r="A8" s="4" t="n">
        <v>6</v>
      </c>
      <c r="B8" s="17" t="inlineStr">
        <is>
          <t>Hyundai</t>
        </is>
      </c>
      <c r="C8" s="17" t="inlineStr">
        <is>
          <t>Elantra</t>
        </is>
      </c>
      <c r="D8" s="17" t="inlineStr">
        <is>
          <t>HEV</t>
        </is>
      </c>
      <c r="E8" s="23" t="n">
        <v>156</v>
      </c>
      <c r="F8" s="21" t="n">
        <v>18.06</v>
      </c>
      <c r="G8">
        <f>SUM(Table22[[#This Row],[2026]:[2022]])</f>
        <v/>
      </c>
    </row>
    <row r="9">
      <c r="A9" s="4" t="n">
        <v>7</v>
      </c>
      <c r="B9" s="17" t="inlineStr">
        <is>
          <t>Omoda</t>
        </is>
      </c>
      <c r="C9" s="17" t="n">
        <v>7</v>
      </c>
      <c r="D9" s="17" t="inlineStr">
        <is>
          <t>PHEV</t>
        </is>
      </c>
      <c r="E9" s="23" t="n">
        <v>148</v>
      </c>
      <c r="F9" s="21" t="n">
        <v>17.18</v>
      </c>
      <c r="G9">
        <f>SUM(Table22[[#This Row],[2026]:[2022]])</f>
        <v/>
      </c>
      <c r="H9" t="n">
        <v>1002</v>
      </c>
      <c r="I9" t="n">
        <v>26</v>
      </c>
      <c r="J9" t="n">
        <v>0</v>
      </c>
      <c r="K9" t="n">
        <v>0</v>
      </c>
      <c r="L9" t="n">
        <v>0</v>
      </c>
    </row>
    <row r="10">
      <c r="A10" s="4" t="n">
        <v>8</v>
      </c>
      <c r="B10" s="17" t="inlineStr">
        <is>
          <t>Jaecoo</t>
        </is>
      </c>
      <c r="C10" s="17" t="inlineStr">
        <is>
          <t>7 PHEV</t>
        </is>
      </c>
      <c r="D10" s="17" t="inlineStr">
        <is>
          <t>PHEV</t>
        </is>
      </c>
      <c r="E10" s="23" t="n">
        <v>137</v>
      </c>
      <c r="F10" s="21" t="n">
        <v>15.97</v>
      </c>
      <c r="G10">
        <f>SUM(Table22[[#This Row],[2026]:[2022]])</f>
        <v/>
      </c>
      <c r="H10" t="n">
        <v>5369</v>
      </c>
      <c r="I10" t="n">
        <v>12780</v>
      </c>
      <c r="J10" t="n">
        <v>13</v>
      </c>
      <c r="K10" t="n">
        <v>0</v>
      </c>
      <c r="L10" t="n">
        <v>0</v>
      </c>
    </row>
    <row r="11">
      <c r="A11" s="4" t="n">
        <v>9</v>
      </c>
      <c r="B11" s="17" t="inlineStr">
        <is>
          <t>Jaecoo</t>
        </is>
      </c>
      <c r="C11" s="17" t="n">
        <v>5</v>
      </c>
      <c r="D11" s="17" t="inlineStr">
        <is>
          <t>HEV</t>
        </is>
      </c>
      <c r="E11" s="23" t="n">
        <v>128</v>
      </c>
      <c r="F11" s="21" t="n">
        <v>14.98</v>
      </c>
      <c r="G11">
        <f>SUM(Table22[[#This Row],[2026]:[2022]])</f>
        <v/>
      </c>
      <c r="H11" t="n">
        <v>4298</v>
      </c>
      <c r="I11" t="n">
        <v>0</v>
      </c>
      <c r="J11" t="n">
        <v>0</v>
      </c>
      <c r="K11" t="n">
        <v>0</v>
      </c>
      <c r="L11" t="n">
        <v>0</v>
      </c>
    </row>
    <row r="12">
      <c r="A12" s="4" t="n">
        <v>10</v>
      </c>
      <c r="B12" s="17" t="inlineStr">
        <is>
          <t>MG</t>
        </is>
      </c>
      <c r="C12" s="17" t="inlineStr">
        <is>
          <t>EHS</t>
        </is>
      </c>
      <c r="D12" s="17" t="inlineStr">
        <is>
          <t>PHEV</t>
        </is>
      </c>
      <c r="E12" s="23" t="n">
        <v>124</v>
      </c>
      <c r="F12" s="21" t="n">
        <v>14.54</v>
      </c>
      <c r="G12">
        <f>SUM(Table22[[#This Row],[2026]:[2022]])</f>
        <v/>
      </c>
      <c r="H12" t="n">
        <v>181</v>
      </c>
      <c r="I12" t="n">
        <v>226</v>
      </c>
      <c r="J12" t="n">
        <v>166</v>
      </c>
      <c r="K12" t="n">
        <v>0</v>
      </c>
      <c r="L12" t="n">
        <v>0</v>
      </c>
    </row>
    <row r="13">
      <c r="A13" s="4" t="n">
        <v>11</v>
      </c>
      <c r="B13" s="17" t="inlineStr">
        <is>
          <t>Tesla</t>
        </is>
      </c>
      <c r="C13" s="17" t="inlineStr">
        <is>
          <t>3 single motor RWD</t>
        </is>
      </c>
      <c r="D13" s="17" t="inlineStr">
        <is>
          <t>BEV</t>
        </is>
      </c>
      <c r="E13" s="23" t="n">
        <v>123.501</v>
      </c>
      <c r="F13" s="21" t="n">
        <v>14.48511</v>
      </c>
      <c r="G13">
        <f>SUM(Table22[[#This Row],[2026]:[2022]])</f>
        <v/>
      </c>
    </row>
    <row r="14">
      <c r="A14" s="4" t="n">
        <v>12</v>
      </c>
      <c r="B14" s="17" t="inlineStr">
        <is>
          <t>Hyundai</t>
        </is>
      </c>
      <c r="C14" s="17" t="inlineStr">
        <is>
          <t>Ioniq 4</t>
        </is>
      </c>
      <c r="D14" s="17" t="inlineStr">
        <is>
          <t>HEV</t>
        </is>
      </c>
      <c r="E14" s="23" t="n">
        <v>112</v>
      </c>
      <c r="F14" s="21" t="n">
        <v>13.22</v>
      </c>
      <c r="G14">
        <f>SUM(Table22[[#This Row],[2026]:[2022]])</f>
        <v/>
      </c>
    </row>
    <row r="15">
      <c r="A15" s="4" t="n">
        <v>13</v>
      </c>
      <c r="B15" s="17" t="inlineStr">
        <is>
          <t>BYD</t>
        </is>
      </c>
      <c r="C15" s="17" t="inlineStr">
        <is>
          <t>Seal U DM-I</t>
        </is>
      </c>
      <c r="D15" s="17" t="inlineStr">
        <is>
          <t>PHEV</t>
        </is>
      </c>
      <c r="E15" s="23" t="n">
        <v>96</v>
      </c>
      <c r="F15" s="21" t="n">
        <v>11.46</v>
      </c>
      <c r="G15">
        <f>SUM(Table22[[#This Row],[2026]:[2022]])</f>
        <v/>
      </c>
    </row>
    <row r="16">
      <c r="A16" s="4" t="n">
        <v>14</v>
      </c>
      <c r="B16" s="17" t="inlineStr">
        <is>
          <t xml:space="preserve">Porsche </t>
        </is>
      </c>
      <c r="C16" s="17" t="inlineStr">
        <is>
          <t>Panamera</t>
        </is>
      </c>
      <c r="D16" s="17" t="inlineStr">
        <is>
          <t>PHEV</t>
        </is>
      </c>
      <c r="E16" s="23" t="n">
        <v>95</v>
      </c>
      <c r="F16" s="21" t="n">
        <v>11.35</v>
      </c>
      <c r="G16">
        <f>SUM(Table22[[#This Row],[2026]:[2022]])</f>
        <v/>
      </c>
    </row>
    <row r="17">
      <c r="A17" s="4" t="n">
        <v>15</v>
      </c>
      <c r="B17" s="17" t="inlineStr">
        <is>
          <t>Suzuki</t>
        </is>
      </c>
      <c r="C17" s="17" t="inlineStr">
        <is>
          <t>Vitrara</t>
        </is>
      </c>
      <c r="D17" s="17" t="inlineStr">
        <is>
          <t>MHEV</t>
        </is>
      </c>
      <c r="E17" s="23" t="n">
        <v>81</v>
      </c>
      <c r="F17" s="21" t="n">
        <v>9.81</v>
      </c>
      <c r="G17">
        <f>SUM(Table22[[#This Row],[2026]:[2022]])</f>
        <v/>
      </c>
    </row>
    <row r="18">
      <c r="A18" s="4" t="n">
        <v>16</v>
      </c>
      <c r="B18" s="17" t="inlineStr">
        <is>
          <t>Suzuki</t>
        </is>
      </c>
      <c r="C18" s="17" t="inlineStr">
        <is>
          <t>Swift GLX micro-hybrid</t>
        </is>
      </c>
      <c r="D18" s="17" t="inlineStr">
        <is>
          <t>MHEV</t>
        </is>
      </c>
      <c r="E18" s="23" t="n">
        <v>80.47</v>
      </c>
      <c r="F18" s="21" t="n">
        <v>9.7517</v>
      </c>
      <c r="G18">
        <f>SUM(Table22[[#This Row],[2026]:[2022]])</f>
        <v/>
      </c>
    </row>
    <row r="19">
      <c r="A19" s="4" t="n">
        <v>17</v>
      </c>
      <c r="B19" s="17" t="inlineStr">
        <is>
          <t>LeapMotor</t>
        </is>
      </c>
      <c r="C19" s="17" t="inlineStr">
        <is>
          <t>C10</t>
        </is>
      </c>
      <c r="D19" s="17" t="inlineStr">
        <is>
          <t>PHEV</t>
        </is>
      </c>
      <c r="E19" s="23" t="n">
        <v>77</v>
      </c>
      <c r="F19" s="21" t="n">
        <v>9.370000000000001</v>
      </c>
      <c r="G19">
        <f>SUM(Table22[[#This Row],[2026]:[2022]])</f>
        <v/>
      </c>
    </row>
    <row r="20">
      <c r="A20" s="4" t="n">
        <v>18</v>
      </c>
      <c r="B20" s="17" t="inlineStr">
        <is>
          <t xml:space="preserve">AUDI </t>
        </is>
      </c>
      <c r="C20" s="17" t="inlineStr">
        <is>
          <t>Q8 SPORTBACK E-Tron</t>
        </is>
      </c>
      <c r="D20" s="17" t="inlineStr">
        <is>
          <t>BEV</t>
        </is>
      </c>
      <c r="E20" s="23" t="n">
        <v>73</v>
      </c>
      <c r="F20" s="21" t="n">
        <v>8.93</v>
      </c>
      <c r="G20">
        <f>SUM(Table22[[#This Row],[2026]:[2022]])</f>
        <v/>
      </c>
    </row>
    <row r="21">
      <c r="A21" s="4" t="n">
        <v>19</v>
      </c>
      <c r="B21" s="17" t="inlineStr">
        <is>
          <t>KIA</t>
        </is>
      </c>
      <c r="C21" s="17" t="inlineStr">
        <is>
          <t>Niro Gen 2</t>
        </is>
      </c>
      <c r="D21" s="17" t="inlineStr">
        <is>
          <t>PHEV</t>
        </is>
      </c>
      <c r="E21" s="23" t="n">
        <v>71.5</v>
      </c>
      <c r="F21" s="21" t="n">
        <v>8.765000000000001</v>
      </c>
      <c r="G21">
        <f>SUM(Table22[[#This Row],[2026]:[2022]])</f>
        <v/>
      </c>
    </row>
    <row r="22">
      <c r="A22" s="4" t="n">
        <v>20</v>
      </c>
      <c r="B22" s="17" t="inlineStr">
        <is>
          <t>KIA</t>
        </is>
      </c>
      <c r="C22" s="17" t="inlineStr">
        <is>
          <t>Niro Plus Gen1</t>
        </is>
      </c>
      <c r="D22" s="17" t="inlineStr">
        <is>
          <t>PHEV</t>
        </is>
      </c>
      <c r="E22" s="23" t="n">
        <v>71.5</v>
      </c>
      <c r="F22" s="21" t="n">
        <v>8.765000000000001</v>
      </c>
      <c r="G22">
        <f>SUM(Table22[[#This Row],[2026]:[2022]])</f>
        <v/>
      </c>
    </row>
    <row r="23">
      <c r="A23" s="4" t="n">
        <v>21</v>
      </c>
      <c r="B23" s="17" t="inlineStr">
        <is>
          <t>Toyota</t>
        </is>
      </c>
      <c r="C23" s="17" t="inlineStr">
        <is>
          <t>Camry</t>
        </is>
      </c>
      <c r="D23" s="17" t="inlineStr">
        <is>
          <t>HEV</t>
        </is>
      </c>
      <c r="E23" s="23" t="n">
        <v>71.056</v>
      </c>
      <c r="F23" s="21" t="n">
        <v>8.71616</v>
      </c>
      <c r="G23">
        <f>SUM(Table22[[#This Row],[2026]:[2022]])</f>
        <v/>
      </c>
    </row>
    <row r="24">
      <c r="A24" s="4" t="n">
        <v>22</v>
      </c>
      <c r="B24" s="17" t="inlineStr">
        <is>
          <t>Chevrolet</t>
        </is>
      </c>
      <c r="C24" s="17" t="inlineStr">
        <is>
          <t>Silverado RST</t>
        </is>
      </c>
      <c r="D24" s="17" t="inlineStr">
        <is>
          <t>BEV</t>
        </is>
      </c>
      <c r="E24" s="23" t="n">
        <v>65</v>
      </c>
      <c r="F24" s="21" t="n">
        <v>8.050000000000001</v>
      </c>
      <c r="G24">
        <f>SUM(Table22[[#This Row],[2026]:[2022]])</f>
        <v/>
      </c>
    </row>
    <row r="25">
      <c r="A25" s="4" t="n">
        <v>23</v>
      </c>
      <c r="B25" s="17" t="inlineStr">
        <is>
          <t>Mitsubishi</t>
        </is>
      </c>
      <c r="C25" s="17" t="inlineStr">
        <is>
          <t>Outlander</t>
        </is>
      </c>
      <c r="D25" s="17" t="inlineStr">
        <is>
          <t>PHEV</t>
        </is>
      </c>
      <c r="E25" s="23" t="n">
        <v>61</v>
      </c>
      <c r="F25" s="21" t="n">
        <v>7.61</v>
      </c>
      <c r="G25">
        <f>SUM(Table22[[#This Row],[2026]:[2022]])</f>
        <v/>
      </c>
    </row>
    <row r="26">
      <c r="A26" s="4" t="n">
        <v>24</v>
      </c>
      <c r="B26" s="17" t="inlineStr">
        <is>
          <t>KIA</t>
        </is>
      </c>
      <c r="C26" s="17" t="inlineStr">
        <is>
          <t>Niro Hybrid Gen 1</t>
        </is>
      </c>
      <c r="D26" s="17" t="inlineStr">
        <is>
          <t>HEV</t>
        </is>
      </c>
      <c r="E26" s="23" t="n">
        <v>57.998</v>
      </c>
      <c r="F26" s="21" t="n">
        <v>7.27978</v>
      </c>
      <c r="G26">
        <f>SUM(Table22[[#This Row],[2026]:[2022]])</f>
        <v/>
      </c>
    </row>
    <row r="27">
      <c r="A27" s="4" t="n">
        <v>25</v>
      </c>
      <c r="B27" s="17" t="inlineStr">
        <is>
          <t xml:space="preserve">VOYAH </t>
        </is>
      </c>
      <c r="C27" s="17" t="inlineStr">
        <is>
          <t>Courage</t>
        </is>
      </c>
      <c r="D27" s="17" t="inlineStr">
        <is>
          <t>BEV</t>
        </is>
      </c>
      <c r="E27" s="23" t="n">
        <v>50</v>
      </c>
      <c r="F27" s="21" t="n">
        <v>6.4</v>
      </c>
      <c r="G27">
        <f>SUM(Table22[[#This Row],[2026]:[2022]])</f>
        <v/>
      </c>
    </row>
    <row r="28">
      <c r="A28" s="4" t="n">
        <v>26</v>
      </c>
      <c r="B28" s="17" t="inlineStr">
        <is>
          <t>Toyota</t>
        </is>
      </c>
      <c r="C28" s="17" t="inlineStr">
        <is>
          <t>Corolla sedan</t>
        </is>
      </c>
      <c r="D28" s="17" t="inlineStr">
        <is>
          <t>HEV</t>
        </is>
      </c>
      <c r="E28" s="23" t="n">
        <v>45.1</v>
      </c>
      <c r="F28" s="21" t="n">
        <v>5.861000000000001</v>
      </c>
      <c r="G28">
        <f>SUM(Table22[[#This Row],[2026]:[2022]])</f>
        <v/>
      </c>
    </row>
    <row r="29">
      <c r="A29" s="4" t="n">
        <v>27</v>
      </c>
      <c r="B29" s="17" t="inlineStr">
        <is>
          <t>Toyota</t>
        </is>
      </c>
      <c r="C29" s="17" t="inlineStr">
        <is>
          <t>RAV4</t>
        </is>
      </c>
      <c r="D29" s="17" t="inlineStr">
        <is>
          <t>HEV</t>
        </is>
      </c>
      <c r="E29" s="23" t="n">
        <v>40.7</v>
      </c>
      <c r="F29" s="21" t="n">
        <v>5.377000000000001</v>
      </c>
      <c r="G29">
        <f>SUM(Table22[[#This Row],[2026]:[2022]])</f>
        <v/>
      </c>
    </row>
    <row r="30">
      <c r="A30" s="4" t="n">
        <v>28</v>
      </c>
      <c r="B30" s="17" t="inlineStr">
        <is>
          <t>Tesla</t>
        </is>
      </c>
      <c r="C30" s="17" t="inlineStr">
        <is>
          <t>Y Dual motor</t>
        </is>
      </c>
      <c r="D30" s="17" t="inlineStr">
        <is>
          <t>BEV</t>
        </is>
      </c>
      <c r="E30" s="23" t="n">
        <v>38.978</v>
      </c>
      <c r="F30" s="21" t="n">
        <v>5.187580000000001</v>
      </c>
      <c r="G30">
        <f>SUM(Table22[[#This Row],[2026]:[2022]])</f>
        <v/>
      </c>
    </row>
    <row r="31">
      <c r="A31" s="4" t="n">
        <v>29</v>
      </c>
      <c r="B31" s="17" t="inlineStr">
        <is>
          <t>BMW</t>
        </is>
      </c>
      <c r="C31" s="17" t="inlineStr">
        <is>
          <t>X5 xDrive45e</t>
        </is>
      </c>
      <c r="D31" s="17" t="inlineStr">
        <is>
          <t>PHEV</t>
        </is>
      </c>
      <c r="E31" s="23" t="n">
        <v>37</v>
      </c>
      <c r="F31" s="21" t="n">
        <v>4.970000000000001</v>
      </c>
      <c r="G31">
        <f>SUM(Table22[[#This Row],[2026]:[2022]])</f>
        <v/>
      </c>
    </row>
    <row r="32">
      <c r="A32" s="4" t="n">
        <v>30</v>
      </c>
      <c r="B32" s="17" t="inlineStr">
        <is>
          <t>MG</t>
        </is>
      </c>
      <c r="C32" s="17" t="inlineStr">
        <is>
          <t>4 X-Range</t>
        </is>
      </c>
      <c r="D32" s="17" t="inlineStr">
        <is>
          <t>BEV</t>
        </is>
      </c>
      <c r="E32" s="23" t="n">
        <v>36</v>
      </c>
      <c r="F32" s="21" t="n">
        <v>4.86</v>
      </c>
      <c r="G32">
        <f>SUM(Table22[[#This Row],[2026]:[2022]])</f>
        <v/>
      </c>
    </row>
    <row r="33">
      <c r="A33" s="4" t="n">
        <v>31</v>
      </c>
      <c r="B33" s="17" t="inlineStr">
        <is>
          <t>Seres</t>
        </is>
      </c>
      <c r="C33" s="17" t="inlineStr">
        <is>
          <t>M5</t>
        </is>
      </c>
      <c r="D33" s="17" t="inlineStr">
        <is>
          <t>BEV</t>
        </is>
      </c>
      <c r="E33" s="23" t="n">
        <v>35</v>
      </c>
      <c r="F33" s="21" t="n">
        <v>4.75</v>
      </c>
      <c r="G33">
        <f>SUM(Table22[[#This Row],[2026]:[2022]])</f>
        <v/>
      </c>
    </row>
    <row r="34">
      <c r="A34" s="4" t="n">
        <v>32</v>
      </c>
      <c r="B34" s="17" t="inlineStr">
        <is>
          <t>Hyundai</t>
        </is>
      </c>
      <c r="C34" s="17" t="inlineStr">
        <is>
          <t xml:space="preserve">Kona </t>
        </is>
      </c>
      <c r="D34" s="17" t="inlineStr">
        <is>
          <t>HEV</t>
        </is>
      </c>
      <c r="E34" s="23" t="n">
        <v>34.5</v>
      </c>
      <c r="F34" s="21" t="n">
        <v>4.695</v>
      </c>
      <c r="G34">
        <f>SUM(Table22[[#This Row],[2026]:[2022]])</f>
        <v/>
      </c>
    </row>
    <row r="35">
      <c r="A35" s="4" t="n">
        <v>33</v>
      </c>
      <c r="B35" s="17" t="inlineStr">
        <is>
          <t>Seres</t>
        </is>
      </c>
      <c r="C35" s="17" t="inlineStr">
        <is>
          <t>M5 awd+rwd</t>
        </is>
      </c>
      <c r="D35" s="17" t="inlineStr">
        <is>
          <t>BEV</t>
        </is>
      </c>
      <c r="E35" s="23" t="n">
        <v>33.5</v>
      </c>
      <c r="F35" s="21" t="n">
        <v>4.585</v>
      </c>
      <c r="G35">
        <f>SUM(Table22[[#This Row],[2026]:[2022]])</f>
        <v/>
      </c>
    </row>
    <row r="36">
      <c r="A36" s="4" t="n">
        <v>34</v>
      </c>
      <c r="B36" s="17" t="inlineStr">
        <is>
          <t>Hyundai</t>
        </is>
      </c>
      <c r="C36" s="17" t="inlineStr">
        <is>
          <t xml:space="preserve">Kona </t>
        </is>
      </c>
      <c r="D36" s="17" t="inlineStr">
        <is>
          <t>BEV</t>
        </is>
      </c>
      <c r="E36" s="23" t="n">
        <v>30.9</v>
      </c>
      <c r="F36" s="21" t="n">
        <v>4.299</v>
      </c>
      <c r="G36">
        <f>SUM(Table22[[#This Row],[2026]:[2022]])</f>
        <v/>
      </c>
    </row>
    <row r="37">
      <c r="A37" s="4" t="n">
        <v>35</v>
      </c>
      <c r="B37" s="17" t="inlineStr">
        <is>
          <t>BMW</t>
        </is>
      </c>
      <c r="C37" s="17" t="inlineStr">
        <is>
          <t>530e</t>
        </is>
      </c>
      <c r="D37" s="17" t="inlineStr">
        <is>
          <t>PHEV</t>
        </is>
      </c>
      <c r="E37" s="23" t="n">
        <v>30.29</v>
      </c>
      <c r="F37" s="21" t="n">
        <v>4.2319</v>
      </c>
      <c r="G37">
        <f>SUM(Table22[[#This Row],[2026]:[2022]])</f>
        <v/>
      </c>
    </row>
    <row r="38">
      <c r="A38" s="4" t="n">
        <v>36</v>
      </c>
      <c r="B38" s="17" t="inlineStr">
        <is>
          <t>Volvo</t>
        </is>
      </c>
      <c r="C38" s="17" t="inlineStr">
        <is>
          <t>XC40</t>
        </is>
      </c>
      <c r="D38" s="17" t="inlineStr">
        <is>
          <t>PHEV</t>
        </is>
      </c>
      <c r="E38" s="23" t="n">
        <v>30</v>
      </c>
      <c r="F38" s="21" t="n">
        <v>4.2</v>
      </c>
      <c r="G38">
        <f>SUM(Table22[[#This Row],[2026]:[2022]])</f>
        <v/>
      </c>
    </row>
    <row r="39">
      <c r="A39" s="4" t="n">
        <v>37</v>
      </c>
      <c r="B39" s="17" t="inlineStr">
        <is>
          <t>Nissan</t>
        </is>
      </c>
      <c r="C39" s="17" t="inlineStr">
        <is>
          <t>Juke</t>
        </is>
      </c>
      <c r="D39" s="17" t="inlineStr">
        <is>
          <t>HEV</t>
        </is>
      </c>
      <c r="E39" s="23" t="n">
        <v>29.3</v>
      </c>
      <c r="F39" s="21" t="n">
        <v>4.123</v>
      </c>
      <c r="G39">
        <f>SUM(Table22[[#This Row],[2026]:[2022]])</f>
        <v/>
      </c>
    </row>
    <row r="40">
      <c r="A40" s="4" t="n">
        <v>38</v>
      </c>
      <c r="B40" s="17" t="inlineStr">
        <is>
          <t>Lynk&amp;Co</t>
        </is>
      </c>
      <c r="C40" s="17" t="inlineStr">
        <is>
          <t>01</t>
        </is>
      </c>
      <c r="D40" s="17" t="inlineStr">
        <is>
          <t>PHEV</t>
        </is>
      </c>
      <c r="E40" s="23" t="n">
        <v>28</v>
      </c>
      <c r="F40" s="21" t="n">
        <v>3.98</v>
      </c>
      <c r="G40">
        <f>SUM(Table22[[#This Row],[2026]:[2022]])</f>
        <v/>
      </c>
    </row>
    <row r="41">
      <c r="A41" s="4" t="n">
        <v>39</v>
      </c>
      <c r="B41" s="17" t="inlineStr">
        <is>
          <t xml:space="preserve">Geely </t>
        </is>
      </c>
      <c r="C41" s="17" t="inlineStr">
        <is>
          <t>EX5</t>
        </is>
      </c>
      <c r="D41" s="17" t="inlineStr">
        <is>
          <t>BEV</t>
        </is>
      </c>
      <c r="E41" s="23" t="n">
        <v>24</v>
      </c>
      <c r="F41" s="21" t="n">
        <v>3.54</v>
      </c>
      <c r="G41">
        <f>SUM(Table22[[#This Row],[2026]:[2022]])</f>
        <v/>
      </c>
    </row>
    <row r="42">
      <c r="A42" s="4" t="n">
        <v>40</v>
      </c>
      <c r="B42" s="17" t="inlineStr">
        <is>
          <t>Hyundai</t>
        </is>
      </c>
      <c r="C42" s="17" t="inlineStr">
        <is>
          <t>Sonata</t>
        </is>
      </c>
      <c r="D42" s="17" t="inlineStr">
        <is>
          <t>HEV</t>
        </is>
      </c>
      <c r="E42" s="23" t="n">
        <v>22</v>
      </c>
      <c r="F42" s="21" t="n">
        <v>3.32</v>
      </c>
      <c r="G42">
        <f>SUM(Table22[[#This Row],[2026]:[2022]])</f>
        <v/>
      </c>
    </row>
    <row r="43">
      <c r="A43" s="4" t="n">
        <v>41</v>
      </c>
      <c r="B43" s="17" t="inlineStr">
        <is>
          <t>MG</t>
        </is>
      </c>
      <c r="C43" s="17" t="inlineStr">
        <is>
          <t>Marvel R RWD</t>
        </is>
      </c>
      <c r="D43" s="17" t="inlineStr">
        <is>
          <t>BEV</t>
        </is>
      </c>
      <c r="E43" s="23" t="n">
        <v>20</v>
      </c>
      <c r="F43" s="21" t="n">
        <v>3.1</v>
      </c>
      <c r="G43">
        <f>SUM(Table22[[#This Row],[2026]:[2022]])</f>
        <v/>
      </c>
    </row>
    <row r="44">
      <c r="A44" s="4" t="n">
        <v>42</v>
      </c>
      <c r="B44" s="17" t="inlineStr">
        <is>
          <t>Toyota</t>
        </is>
      </c>
      <c r="C44" s="17" t="inlineStr">
        <is>
          <t xml:space="preserve">Yaris </t>
        </is>
      </c>
      <c r="D44" s="17" t="inlineStr">
        <is>
          <t>HEV</t>
        </is>
      </c>
      <c r="E44" s="23" t="n">
        <v>19.5</v>
      </c>
      <c r="F44" s="21" t="n">
        <v>3.045</v>
      </c>
      <c r="G44">
        <f>SUM(Table22[[#This Row],[2026]:[2022]])</f>
        <v/>
      </c>
    </row>
    <row r="45">
      <c r="A45" s="4" t="n">
        <v>43</v>
      </c>
      <c r="B45" s="17" t="inlineStr">
        <is>
          <t>Toyota</t>
        </is>
      </c>
      <c r="C45" s="17" t="inlineStr">
        <is>
          <t>Yaris cross</t>
        </is>
      </c>
      <c r="D45" s="17" t="inlineStr">
        <is>
          <t>HEV</t>
        </is>
      </c>
      <c r="E45" s="23" t="n">
        <v>19.5</v>
      </c>
      <c r="F45" s="21" t="n">
        <v>3.045</v>
      </c>
      <c r="G45">
        <f>SUM(Table22[[#This Row],[2026]:[2022]])</f>
        <v/>
      </c>
    </row>
    <row r="46">
      <c r="A46" s="4" t="n">
        <v>44</v>
      </c>
      <c r="B46" s="17" t="inlineStr">
        <is>
          <t>Xpeng</t>
        </is>
      </c>
      <c r="C46" s="17" t="inlineStr">
        <is>
          <t>G6</t>
        </is>
      </c>
      <c r="D46" s="17" t="inlineStr">
        <is>
          <t>BEV</t>
        </is>
      </c>
      <c r="E46" s="23" t="n">
        <v>18</v>
      </c>
      <c r="F46" s="21" t="n">
        <v>2.88</v>
      </c>
      <c r="G46">
        <f>SUM(Table22[[#This Row],[2026]:[2022]])</f>
        <v/>
      </c>
    </row>
    <row r="47">
      <c r="A47" s="4" t="n">
        <v>45</v>
      </c>
      <c r="B47" s="17" t="inlineStr">
        <is>
          <t>BYD</t>
        </is>
      </c>
      <c r="C47" s="17" t="inlineStr">
        <is>
          <t xml:space="preserve">Sealion 7 </t>
        </is>
      </c>
      <c r="D47" s="17" t="inlineStr">
        <is>
          <t>BEV</t>
        </is>
      </c>
      <c r="E47" s="23" t="n">
        <v>16</v>
      </c>
      <c r="F47" s="21" t="n">
        <v>2.66</v>
      </c>
      <c r="G47">
        <f>SUM(Table22[[#This Row],[2026]:[2022]])</f>
        <v/>
      </c>
    </row>
    <row r="48">
      <c r="A48" s="4" t="n">
        <v>46</v>
      </c>
      <c r="B48" s="17" t="inlineStr">
        <is>
          <t>Zeekr</t>
        </is>
      </c>
      <c r="C48" s="17" t="inlineStr">
        <is>
          <t>X</t>
        </is>
      </c>
      <c r="D48" s="17" t="inlineStr">
        <is>
          <t>BEV</t>
        </is>
      </c>
      <c r="E48" s="23" t="n">
        <v>16</v>
      </c>
      <c r="F48" s="21" t="n">
        <v>2.66</v>
      </c>
      <c r="G48">
        <f>SUM(Table22[[#This Row],[2026]:[2022]])</f>
        <v/>
      </c>
    </row>
    <row r="49">
      <c r="A49" s="4" t="n">
        <v>47</v>
      </c>
      <c r="B49" s="17" t="inlineStr">
        <is>
          <t>Hyundai</t>
        </is>
      </c>
      <c r="C49" s="17" t="inlineStr">
        <is>
          <t>Ioniq 5</t>
        </is>
      </c>
      <c r="D49" s="17" t="inlineStr">
        <is>
          <t>BEV</t>
        </is>
      </c>
      <c r="E49" s="23" t="n">
        <v>15</v>
      </c>
      <c r="F49" s="21" t="n">
        <v>2.55</v>
      </c>
      <c r="G49">
        <f>SUM(Table22[[#This Row],[2026]:[2022]])</f>
        <v/>
      </c>
    </row>
    <row r="50">
      <c r="A50" s="4" t="n">
        <v>48</v>
      </c>
      <c r="B50" s="17" t="inlineStr">
        <is>
          <t>BMW</t>
        </is>
      </c>
      <c r="C50" s="17" t="inlineStr">
        <is>
          <t>iX3</t>
        </is>
      </c>
      <c r="D50" s="17" t="inlineStr">
        <is>
          <t>BEV</t>
        </is>
      </c>
      <c r="E50" s="23" t="n">
        <v>14</v>
      </c>
      <c r="F50" s="21" t="n">
        <v>2.44</v>
      </c>
      <c r="G50">
        <f>SUM(Table22[[#This Row],[2026]:[2022]])</f>
        <v/>
      </c>
    </row>
    <row r="51">
      <c r="A51" s="4" t="n">
        <v>49</v>
      </c>
      <c r="B51" s="17" t="inlineStr">
        <is>
          <t>BYD</t>
        </is>
      </c>
      <c r="C51" s="17" t="inlineStr">
        <is>
          <t>Atto 3</t>
        </is>
      </c>
      <c r="D51" s="17" t="inlineStr">
        <is>
          <t>BEV</t>
        </is>
      </c>
      <c r="E51" s="23" t="n">
        <v>12</v>
      </c>
      <c r="F51" s="21" t="n">
        <v>2.22</v>
      </c>
      <c r="G51">
        <f>SUM(Table22[[#This Row],[2026]:[2022]])</f>
        <v/>
      </c>
    </row>
    <row r="52">
      <c r="A52" s="4" t="n">
        <v>50</v>
      </c>
      <c r="B52" s="17" t="inlineStr">
        <is>
          <t>Honda</t>
        </is>
      </c>
      <c r="C52" s="17" t="inlineStr">
        <is>
          <t>Accord</t>
        </is>
      </c>
      <c r="D52" s="17" t="inlineStr">
        <is>
          <t>HEV</t>
        </is>
      </c>
      <c r="E52" s="23" t="n">
        <v>10</v>
      </c>
      <c r="F52" s="21" t="n">
        <v>2</v>
      </c>
      <c r="G52">
        <f>SUM(Table22[[#This Row],[2026]:[2022]])</f>
        <v/>
      </c>
    </row>
    <row r="53">
      <c r="A53" s="4" t="n">
        <v>51</v>
      </c>
      <c r="B53" s="17" t="inlineStr">
        <is>
          <t>SKODA</t>
        </is>
      </c>
      <c r="C53" s="17" t="inlineStr">
        <is>
          <t>Eniaq</t>
        </is>
      </c>
      <c r="D53" s="17" t="inlineStr">
        <is>
          <t>BEV</t>
        </is>
      </c>
      <c r="E53" s="23" t="n">
        <v>10</v>
      </c>
      <c r="F53" s="21" t="n">
        <v>2</v>
      </c>
      <c r="G53">
        <f>SUM(Table22[[#This Row],[2026]:[2022]])</f>
        <v/>
      </c>
    </row>
    <row r="54">
      <c r="A54" s="4" t="n">
        <v>52</v>
      </c>
      <c r="B54" s="17" t="inlineStr">
        <is>
          <t>Geely</t>
        </is>
      </c>
      <c r="C54" s="17" t="inlineStr">
        <is>
          <t>Geometry C - 480PURE</t>
        </is>
      </c>
      <c r="D54" s="17" t="inlineStr">
        <is>
          <t>BEV</t>
        </is>
      </c>
      <c r="E54" s="23" t="n">
        <v>9</v>
      </c>
      <c r="F54" s="21" t="n">
        <v>1.89</v>
      </c>
      <c r="G54">
        <f>SUM(Table22[[#This Row],[2026]:[2022]])</f>
        <v/>
      </c>
    </row>
    <row r="55">
      <c r="A55" s="4" t="n">
        <v>53</v>
      </c>
      <c r="B55" s="17" t="inlineStr">
        <is>
          <t>Peugeot</t>
        </is>
      </c>
      <c r="C55" s="17" t="inlineStr">
        <is>
          <t>E208</t>
        </is>
      </c>
      <c r="D55" s="17" t="inlineStr">
        <is>
          <t>BEV</t>
        </is>
      </c>
      <c r="E55" s="23" t="n">
        <v>6</v>
      </c>
      <c r="F55" s="21" t="n">
        <v>1.56</v>
      </c>
      <c r="G55">
        <f>SUM(Table22[[#This Row],[2026]:[2022]])</f>
        <v/>
      </c>
    </row>
    <row r="56">
      <c r="A56" s="4" t="n">
        <v>54</v>
      </c>
      <c r="B56" s="17" t="inlineStr">
        <is>
          <t>LeapMotor</t>
        </is>
      </c>
      <c r="C56" s="17" t="inlineStr">
        <is>
          <t>C10</t>
        </is>
      </c>
      <c r="D56" s="17" t="inlineStr">
        <is>
          <t>BEV</t>
        </is>
      </c>
      <c r="E56" s="23" t="n">
        <v>4.5</v>
      </c>
      <c r="F56" s="21" t="n">
        <v>1.395</v>
      </c>
      <c r="G56">
        <f>SUM(Table22[[#This Row],[2026]:[2022]])</f>
        <v/>
      </c>
    </row>
    <row r="57">
      <c r="A57" s="4" t="n">
        <v>55</v>
      </c>
      <c r="B57" s="17" t="inlineStr">
        <is>
          <t>Volkswagen</t>
        </is>
      </c>
      <c r="C57" s="17" t="inlineStr">
        <is>
          <t>ID4 2x4</t>
        </is>
      </c>
      <c r="D57" s="17" t="inlineStr">
        <is>
          <t>BEV</t>
        </is>
      </c>
      <c r="E57" s="23" t="n">
        <v>4</v>
      </c>
      <c r="F57" s="21" t="n">
        <v>1.34</v>
      </c>
      <c r="G57">
        <f>SUM(Table22[[#This Row],[2026]:[2022]])</f>
        <v/>
      </c>
    </row>
    <row r="58">
      <c r="A58" s="4" t="n">
        <v>56</v>
      </c>
      <c r="B58" s="17" t="inlineStr">
        <is>
          <t xml:space="preserve">MG </t>
        </is>
      </c>
      <c r="C58" s="17" t="n">
        <v>5</v>
      </c>
      <c r="D58" s="17" t="inlineStr">
        <is>
          <t>BEV</t>
        </is>
      </c>
      <c r="E58" s="23" t="n">
        <v>3.1</v>
      </c>
      <c r="F58" s="21" t="n">
        <v>1.241</v>
      </c>
      <c r="G58">
        <f>SUM(Table22[[#This Row],[2026]:[2022]])</f>
        <v/>
      </c>
    </row>
    <row r="59">
      <c r="A59" s="4" t="n">
        <v>57</v>
      </c>
      <c r="B59" s="17" t="inlineStr">
        <is>
          <t>MG</t>
        </is>
      </c>
      <c r="C59" s="17" t="inlineStr">
        <is>
          <t>ZS</t>
        </is>
      </c>
      <c r="D59" s="17" t="inlineStr">
        <is>
          <t>BEV</t>
        </is>
      </c>
      <c r="E59" s="23" t="n">
        <v>3</v>
      </c>
      <c r="F59" s="21" t="n">
        <v>1.23</v>
      </c>
      <c r="G59">
        <f>SUM(Table22[[#This Row],[2026]:[2022]])</f>
        <v/>
      </c>
    </row>
    <row r="60">
      <c r="A60" s="4" t="n">
        <v>58</v>
      </c>
      <c r="B60" s="17" t="inlineStr">
        <is>
          <t>Eveasy</t>
        </is>
      </c>
      <c r="C60" s="17" t="inlineStr">
        <is>
          <t>Limo</t>
        </is>
      </c>
      <c r="D60" s="17" t="inlineStr">
        <is>
          <t>BEV</t>
        </is>
      </c>
      <c r="E60" s="23" t="n">
        <v>2.4</v>
      </c>
      <c r="F60" s="21" t="n">
        <v>1.164</v>
      </c>
      <c r="G60">
        <f>SUM(Table22[[#This Row],[2026]:[2022]])</f>
        <v/>
      </c>
    </row>
    <row r="61">
      <c r="A61" s="4" t="n">
        <v>59</v>
      </c>
      <c r="B61" s="17" t="inlineStr">
        <is>
          <t>Seres</t>
        </is>
      </c>
      <c r="C61" s="17" t="n">
        <v>3</v>
      </c>
      <c r="D61" s="17" t="inlineStr">
        <is>
          <t>BEV</t>
        </is>
      </c>
      <c r="E61" s="23" t="n">
        <v>0</v>
      </c>
      <c r="F61" s="21" t="n">
        <v>0.9</v>
      </c>
      <c r="G61">
        <f>SUM(Table22[[#This Row],[2026]:[2022]])</f>
        <v/>
      </c>
    </row>
    <row r="62">
      <c r="A62" s="4" t="n">
        <v>60</v>
      </c>
      <c r="B62" s="17" t="inlineStr">
        <is>
          <t>Toyota</t>
        </is>
      </c>
      <c r="C62" s="17" t="inlineStr">
        <is>
          <t>CHR</t>
        </is>
      </c>
      <c r="D62" s="17" t="inlineStr">
        <is>
          <t>HEV</t>
        </is>
      </c>
      <c r="E62" s="23" t="n">
        <v>0</v>
      </c>
      <c r="F62" s="21" t="n">
        <v>0.9</v>
      </c>
      <c r="G62">
        <f>SUM(Table22[[#This Row],[2026]:[2022]])</f>
        <v/>
      </c>
    </row>
    <row r="63">
      <c r="A63" s="4" t="n">
        <v>61</v>
      </c>
      <c r="B63" s="17" t="inlineStr">
        <is>
          <t>Volvo</t>
        </is>
      </c>
      <c r="C63" s="17" t="inlineStr">
        <is>
          <t>EX30</t>
        </is>
      </c>
      <c r="D63" s="17" t="inlineStr">
        <is>
          <t>BEV</t>
        </is>
      </c>
      <c r="E63" s="23" t="n">
        <v>0</v>
      </c>
      <c r="F63" s="21" t="n">
        <v>0.9</v>
      </c>
      <c r="G63">
        <f>SUM(Table22[[#This Row],[2026]:[2022]])</f>
        <v/>
      </c>
    </row>
    <row r="64">
      <c r="A64" s="4" t="n">
        <v>62</v>
      </c>
      <c r="B64" s="17" t="inlineStr">
        <is>
          <t>Zeekr</t>
        </is>
      </c>
      <c r="C64" s="24" t="inlineStr">
        <is>
          <t>001</t>
        </is>
      </c>
      <c r="D64" s="17" t="inlineStr">
        <is>
          <t>BEV</t>
        </is>
      </c>
      <c r="E64" s="23" t="n">
        <v>0</v>
      </c>
      <c r="F64" s="21" t="n">
        <v>0.9</v>
      </c>
      <c r="G64">
        <f>SUM(Table22[[#This Row],[2026]:[2022]])</f>
        <v/>
      </c>
    </row>
    <row r="65">
      <c r="A65" s="4" t="n">
        <v>63</v>
      </c>
      <c r="B65" s="17" t="inlineStr">
        <is>
          <t>Zeekr</t>
        </is>
      </c>
      <c r="C65" s="17" t="inlineStr">
        <is>
          <t>7x</t>
        </is>
      </c>
      <c r="D65" s="17" t="inlineStr">
        <is>
          <t>BEV</t>
        </is>
      </c>
      <c r="E65" s="23" t="n">
        <v>0</v>
      </c>
      <c r="F65" s="21" t="n">
        <v>0.9</v>
      </c>
      <c r="G65">
        <f>SUM(Table22[[#This Row],[2026]:[2022]])</f>
        <v/>
      </c>
    </row>
  </sheetData>
  <dataValidations count="1">
    <dataValidation sqref="D4:D8 D10:D21 D23:D25 D27 D30:D31 D35 D37 D41:D43 D50:D51 D54:D55 D57:D61" showDropDown="0" showInputMessage="1" showErrorMessage="1" allowBlank="1" type="list">
      <formula1>"HEV, PHEV, BEV, ICE"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92D050"/>
    <outlinePr summaryBelow="1" summaryRight="1"/>
    <pageSetUpPr/>
  </sheetPr>
  <dimension ref="A1:Y97"/>
  <sheetViews>
    <sheetView zoomScale="115" zoomScaleNormal="115" workbookViewId="0">
      <selection activeCell="U7" sqref="U7:Y7"/>
    </sheetView>
  </sheetViews>
  <sheetFormatPr baseColWidth="8" defaultRowHeight="14.5"/>
  <cols>
    <col width="6.1796875" customWidth="1" style="4" min="1" max="1"/>
    <col width="25.54296875" bestFit="1" customWidth="1" min="2" max="2"/>
    <col width="14.7265625" customWidth="1" min="21" max="25"/>
  </cols>
  <sheetData>
    <row r="1" ht="26" customHeight="1">
      <c r="A1" s="14" t="inlineStr">
        <is>
          <t>Vehicle measurement - After cancellation</t>
        </is>
      </c>
      <c r="B1" s="15" t="n"/>
      <c r="C1" s="15" t="n"/>
      <c r="D1" s="15" t="n"/>
      <c r="E1" s="15" t="n"/>
      <c r="F1" s="15" t="n"/>
      <c r="G1" s="16" t="n"/>
      <c r="V1" s="6" t="n"/>
      <c r="W1" s="6" t="n"/>
      <c r="Y1" s="6" t="n"/>
    </row>
    <row r="2">
      <c r="A2" s="25" t="inlineStr">
        <is>
          <t>Inputs</t>
        </is>
      </c>
      <c r="B2" t="inlineStr">
        <is>
          <t>Measuring regions</t>
        </is>
      </c>
      <c r="C2" s="3" t="n">
        <v>16</v>
      </c>
      <c r="V2" s="6" t="n"/>
      <c r="W2" s="6" t="n"/>
      <c r="Y2" s="6" t="n"/>
    </row>
    <row r="3">
      <c r="B3" t="inlineStr">
        <is>
          <t>EMF threshold 1</t>
        </is>
      </c>
      <c r="C3" s="3" t="n">
        <v>4</v>
      </c>
      <c r="V3" s="6" t="n"/>
      <c r="W3" s="6" t="n"/>
      <c r="Y3" s="6" t="n"/>
    </row>
    <row r="4">
      <c r="B4" t="inlineStr">
        <is>
          <t>EMF threshold 2</t>
        </is>
      </c>
      <c r="C4" s="7" t="n">
        <v>10</v>
      </c>
      <c r="V4" s="6" t="n"/>
      <c r="W4" s="6" t="n"/>
      <c r="Y4" s="6" t="n"/>
    </row>
    <row r="5">
      <c r="A5" s="25" t="n"/>
      <c r="V5" s="6" t="n"/>
      <c r="W5" s="6" t="n"/>
      <c r="Y5" s="6" t="n"/>
    </row>
    <row r="7">
      <c r="A7" s="9" t="n"/>
      <c r="B7" s="8" t="inlineStr">
        <is>
          <t>Region</t>
        </is>
      </c>
      <c r="C7" s="9" t="inlineStr">
        <is>
          <t>A(1-4)</t>
        </is>
      </c>
      <c r="D7" s="9" t="inlineStr">
        <is>
          <t>A(5-8)</t>
        </is>
      </c>
      <c r="E7" s="9" t="inlineStr">
        <is>
          <t>B(1-4)</t>
        </is>
      </c>
      <c r="F7" s="9" t="inlineStr">
        <is>
          <t>B(5-8)</t>
        </is>
      </c>
      <c r="G7" s="9" t="inlineStr">
        <is>
          <t>C(1-4)</t>
        </is>
      </c>
      <c r="H7" s="9" t="inlineStr">
        <is>
          <t>C(5-8_</t>
        </is>
      </c>
      <c r="I7" s="9" t="inlineStr">
        <is>
          <t>D(1-4)</t>
        </is>
      </c>
      <c r="J7" s="9" t="inlineStr">
        <is>
          <t>D(5-6)</t>
        </is>
      </c>
      <c r="K7" s="9" t="inlineStr">
        <is>
          <t>D(7-10)</t>
        </is>
      </c>
      <c r="L7" s="9" t="inlineStr">
        <is>
          <t>E(1-4)</t>
        </is>
      </c>
      <c r="M7" s="9" t="inlineStr">
        <is>
          <t>E(5-6)</t>
        </is>
      </c>
      <c r="N7" s="9" t="inlineStr">
        <is>
          <t>E(7-10)</t>
        </is>
      </c>
      <c r="O7" s="9" t="inlineStr">
        <is>
          <t>F(1-4)</t>
        </is>
      </c>
      <c r="P7" s="9" t="inlineStr">
        <is>
          <t>F(5-6)</t>
        </is>
      </c>
      <c r="Q7" s="9" t="inlineStr">
        <is>
          <t>F(7-10)</t>
        </is>
      </c>
      <c r="R7" s="9" t="inlineStr">
        <is>
          <t>G(1-4)</t>
        </is>
      </c>
      <c r="S7" s="9" t="inlineStr">
        <is>
          <t>H</t>
        </is>
      </c>
      <c r="T7" s="12" t="inlineStr">
        <is>
          <t>I</t>
        </is>
      </c>
      <c r="U7" s="33" t="inlineStr">
        <is>
          <t>Output</t>
        </is>
      </c>
      <c r="V7" s="34" t="n"/>
      <c r="W7" s="34" t="n"/>
      <c r="X7" s="34" t="n"/>
      <c r="Y7" s="35" t="n"/>
    </row>
    <row r="8">
      <c r="A8" s="9" t="inlineStr">
        <is>
          <t>#</t>
        </is>
      </c>
      <c r="B8" s="8" t="inlineStr">
        <is>
          <t>Weight</t>
        </is>
      </c>
      <c r="C8" s="10" t="n">
        <v>0.0625</v>
      </c>
      <c r="D8" s="10" t="n">
        <v>0.0625</v>
      </c>
      <c r="E8" s="10" t="n">
        <v>0.0625</v>
      </c>
      <c r="F8" s="10" t="n">
        <v>0.0625</v>
      </c>
      <c r="G8" s="10" t="n">
        <v>0.0625</v>
      </c>
      <c r="H8" s="10" t="n">
        <v>0.0625</v>
      </c>
      <c r="I8" s="10" t="n">
        <v>0.0625</v>
      </c>
      <c r="J8" s="10" t="n">
        <v>0.0625</v>
      </c>
      <c r="K8" s="10" t="n">
        <v>0.0625</v>
      </c>
      <c r="L8" s="10" t="n">
        <v>0.0625</v>
      </c>
      <c r="M8" s="10" t="n">
        <v>0.0625</v>
      </c>
      <c r="N8" s="10" t="n">
        <v>0.0625</v>
      </c>
      <c r="O8" s="10" t="n">
        <v>0.0625</v>
      </c>
      <c r="P8" s="10" t="n">
        <v>0.0625</v>
      </c>
      <c r="Q8" s="10" t="n">
        <v>0.0625</v>
      </c>
      <c r="R8" s="10" t="n">
        <v>0.0625</v>
      </c>
      <c r="S8" s="10" t="n">
        <v>0</v>
      </c>
      <c r="T8" s="10" t="n">
        <v>0</v>
      </c>
      <c r="U8" s="13" t="inlineStr">
        <is>
          <t>Average MF [mG]</t>
        </is>
      </c>
      <c r="V8" s="13" t="inlineStr">
        <is>
          <t>Max field [mG]</t>
        </is>
      </c>
      <c r="W8" s="13" t="inlineStr">
        <is>
          <t># Regions &gt; 4mG</t>
        </is>
      </c>
      <c r="X8" s="13" t="inlineStr">
        <is>
          <t>n(&gt;4mG)/16</t>
        </is>
      </c>
      <c r="Y8" s="13" t="inlineStr">
        <is>
          <t>MF score</t>
        </is>
      </c>
    </row>
    <row r="9">
      <c r="A9" s="2" t="n">
        <v>1</v>
      </c>
      <c r="B9" s="1" t="inlineStr">
        <is>
          <t>BMW X5 xDrive45e</t>
        </is>
      </c>
      <c r="C9" s="1" t="n">
        <v>15</v>
      </c>
      <c r="D9" s="1" t="n">
        <v>18</v>
      </c>
      <c r="E9" s="1" t="n">
        <v>2</v>
      </c>
      <c r="F9" s="1" t="n">
        <v>2</v>
      </c>
      <c r="G9" s="1" t="n">
        <v>2</v>
      </c>
      <c r="H9" s="1" t="n">
        <v>2</v>
      </c>
      <c r="I9" s="1" t="n">
        <v>5</v>
      </c>
      <c r="J9" s="1" t="n">
        <v>2</v>
      </c>
      <c r="K9" s="1" t="n">
        <v>5</v>
      </c>
      <c r="L9" s="1" t="n">
        <v>6</v>
      </c>
      <c r="M9" s="1" t="n">
        <v>2</v>
      </c>
      <c r="N9" s="1" t="n">
        <v>4</v>
      </c>
      <c r="O9" s="1" t="n">
        <v>3</v>
      </c>
      <c r="P9" s="1" t="n">
        <v>2</v>
      </c>
      <c r="Q9" s="1" t="n">
        <v>3</v>
      </c>
      <c r="R9" s="1" t="n">
        <v>1</v>
      </c>
      <c r="S9" s="1" t="n"/>
      <c r="T9" s="1" t="n"/>
      <c r="U9" s="5">
        <f>SUMPRODUCT($C$8:$T$8,C9:T9)</f>
        <v/>
      </c>
      <c r="V9" s="5">
        <f>MAX(C9:T9)</f>
        <v/>
      </c>
      <c r="W9" s="1">
        <f>COUNTIF(C9:R9,"&gt;="&amp;$C$3)</f>
        <v/>
      </c>
      <c r="X9" s="5">
        <f>IF(W9=0,0,W9/$C$2)</f>
        <v/>
      </c>
      <c r="Y9" s="5">
        <f>U9*X9*10</f>
        <v/>
      </c>
    </row>
    <row r="10">
      <c r="A10" s="2" t="n">
        <v>2</v>
      </c>
      <c r="B10" s="1" t="inlineStr">
        <is>
          <t>Tesla model 3 RWD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5">
        <f>SUMPRODUCT($C$8:$T$8,C10:T10)</f>
        <v/>
      </c>
      <c r="V10" s="5">
        <f>MAX(C10:T10)</f>
        <v/>
      </c>
      <c r="W10" s="1">
        <f>COUNTIF(C10:R10,"&gt;="&amp;$C$3)</f>
        <v/>
      </c>
      <c r="X10" s="5">
        <f>IF(W10=0,0,W10/$C$2)</f>
        <v/>
      </c>
      <c r="Y10" s="5">
        <f>U10*X10*10</f>
        <v/>
      </c>
    </row>
    <row r="11">
      <c r="A11" s="2" t="n">
        <v>3</v>
      </c>
      <c r="B11" s="1" t="inlineStr">
        <is>
          <t>Volvo XC40 PHEV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5">
        <f>SUMPRODUCT($C$8:$T$8,C11:T11)</f>
        <v/>
      </c>
      <c r="V11" s="5">
        <f>MAX(C11:T11)</f>
        <v/>
      </c>
      <c r="W11" s="1">
        <f>COUNTIF(C11:R11,"&gt;="&amp;$C$3)</f>
        <v/>
      </c>
      <c r="X11" s="5">
        <f>IF(W11=0,0,W11/$C$2)</f>
        <v/>
      </c>
      <c r="Y11" s="5">
        <f>U11*X11*10</f>
        <v/>
      </c>
    </row>
    <row r="12">
      <c r="A12" s="2" t="n">
        <v>4</v>
      </c>
      <c r="B12" s="1" t="inlineStr">
        <is>
          <t>Lynk&amp;Co 01 PHEV</t>
        </is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5">
        <f>SUMPRODUCT($C$8:$T$8,C12:T12)</f>
        <v/>
      </c>
      <c r="V12" s="5">
        <f>MAX(C12:T12)</f>
        <v/>
      </c>
      <c r="W12" s="1">
        <f>COUNTIF(C12:R12,"&gt;="&amp;$C$3)</f>
        <v/>
      </c>
      <c r="X12" s="5">
        <f>IF(W12=0,0,W12/$C$2)</f>
        <v/>
      </c>
      <c r="Y12" s="5">
        <f>U12*X12*10</f>
        <v/>
      </c>
    </row>
    <row r="13">
      <c r="A13" s="2" t="n">
        <v>5</v>
      </c>
      <c r="B13" s="1" t="inlineStr">
        <is>
          <t>Honda Accord HEV</t>
        </is>
      </c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5">
        <f>SUMPRODUCT($C$8:$T$8,C13:T13)</f>
        <v/>
      </c>
      <c r="V13" s="5">
        <f>MAX(C13:T13)</f>
        <v/>
      </c>
      <c r="W13" s="1">
        <f>COUNTIF(C13:R13,"&gt;="&amp;$C$3)</f>
        <v/>
      </c>
      <c r="X13" s="5">
        <f>IF(W13=0,0,W13/$C$2)</f>
        <v/>
      </c>
      <c r="Y13" s="5">
        <f>U13*X13*10</f>
        <v/>
      </c>
    </row>
    <row r="14">
      <c r="A14" s="2" t="n">
        <v>6</v>
      </c>
      <c r="B14" s="1" t="inlineStr">
        <is>
          <t>BMW 530e</t>
        </is>
      </c>
      <c r="C14" s="1" t="n">
        <v>16</v>
      </c>
      <c r="D14" s="1" t="n">
        <v>14.51</v>
      </c>
      <c r="E14" s="1" t="n">
        <v>1.88</v>
      </c>
      <c r="F14" s="1" t="n">
        <v>0.53</v>
      </c>
      <c r="G14" s="1" t="n">
        <v>0.42</v>
      </c>
      <c r="H14" s="1" t="n">
        <v>0.07000000000000001</v>
      </c>
      <c r="I14" s="1" t="n">
        <v>15.86</v>
      </c>
      <c r="J14" s="1" t="n">
        <v>0.3</v>
      </c>
      <c r="K14" s="1" t="n">
        <v>10.11</v>
      </c>
      <c r="L14" s="1" t="n">
        <v>6.39</v>
      </c>
      <c r="M14" s="1" t="n">
        <v>0.5600000000000001</v>
      </c>
      <c r="N14" s="1" t="n">
        <v>3.32</v>
      </c>
      <c r="O14" s="1" t="n">
        <v>4.47</v>
      </c>
      <c r="P14" s="1" t="n">
        <v>0.3</v>
      </c>
      <c r="Q14" s="1" t="n">
        <v>5.86</v>
      </c>
      <c r="R14" s="1" t="n">
        <v>0.11</v>
      </c>
      <c r="S14" s="1" t="n"/>
      <c r="T14" s="1" t="n"/>
      <c r="U14" s="5">
        <f>SUMPRODUCT($C$8:$T$8,C14:T14)</f>
        <v/>
      </c>
      <c r="V14" s="5">
        <f>MAX(C14:T14)</f>
        <v/>
      </c>
      <c r="W14" s="1">
        <f>COUNTIF(C14:R14,"&gt;="&amp;$C$3)</f>
        <v/>
      </c>
      <c r="X14" s="5">
        <f>IF(W14=0,0,W14/$C$2)</f>
        <v/>
      </c>
      <c r="Y14" s="5">
        <f>U14*X14*10</f>
        <v/>
      </c>
    </row>
    <row r="15">
      <c r="A15" s="2" t="n">
        <v>7</v>
      </c>
      <c r="B15" s="1" t="inlineStr">
        <is>
          <t>Hyundai Sonata</t>
        </is>
      </c>
      <c r="C15" s="1" t="n"/>
      <c r="D15" s="1" t="n"/>
      <c r="E15" s="1" t="n"/>
      <c r="F15" s="1" t="n"/>
      <c r="G15" s="1" t="n"/>
      <c r="H15" s="1" t="n"/>
      <c r="I15" s="1" t="n"/>
      <c r="J15" s="1" t="n">
        <v>3.96</v>
      </c>
      <c r="K15" s="1" t="n">
        <v>2.66</v>
      </c>
      <c r="L15" s="1" t="n"/>
      <c r="M15" s="1" t="n">
        <v>1.46</v>
      </c>
      <c r="N15" s="1" t="n">
        <v>2.95</v>
      </c>
      <c r="O15" s="1" t="n"/>
      <c r="P15" s="1" t="n">
        <v>1.39</v>
      </c>
      <c r="Q15" s="1" t="n">
        <v>2</v>
      </c>
      <c r="R15" s="1" t="n"/>
      <c r="S15" s="1" t="n"/>
      <c r="T15" s="1" t="n"/>
      <c r="U15" s="5">
        <f>SUMPRODUCT($C$8:$T$8,C15:T15)</f>
        <v/>
      </c>
      <c r="V15" s="5">
        <f>MAX(C15:T15)</f>
        <v/>
      </c>
      <c r="W15" s="1">
        <f>COUNTIF(C15:R15,"&gt;="&amp;$C$3)</f>
        <v/>
      </c>
      <c r="X15" s="5">
        <f>IF(W15=0,0,W15/$C$2)</f>
        <v/>
      </c>
      <c r="Y15" s="5">
        <f>U15*X15*10</f>
        <v/>
      </c>
    </row>
    <row r="16">
      <c r="A16" s="2" t="n">
        <v>8</v>
      </c>
      <c r="B16" s="1" t="inlineStr">
        <is>
          <t>toyota camry</t>
        </is>
      </c>
      <c r="C16" s="1" t="n">
        <v>8.581</v>
      </c>
      <c r="D16" s="1" t="n"/>
      <c r="E16" s="1" t="n">
        <v>9.956</v>
      </c>
      <c r="F16" s="1" t="n"/>
      <c r="G16" s="1" t="n">
        <v>8.254</v>
      </c>
      <c r="H16" s="1" t="n"/>
      <c r="I16" s="1" t="n">
        <v>35.792</v>
      </c>
      <c r="J16" s="1" t="n">
        <v>51.0732</v>
      </c>
      <c r="K16" s="1" t="n">
        <v>25.9</v>
      </c>
      <c r="L16" s="1" t="n">
        <v>17.899</v>
      </c>
      <c r="M16" s="1" t="n">
        <v>5.299</v>
      </c>
      <c r="N16" s="1" t="n">
        <v>19.773</v>
      </c>
      <c r="O16" s="1" t="n">
        <v>10.893</v>
      </c>
      <c r="P16" s="1" t="n">
        <v>6.146</v>
      </c>
      <c r="Q16" s="1" t="n">
        <v>4.571</v>
      </c>
      <c r="R16" s="1" t="n"/>
      <c r="S16" s="1" t="n"/>
      <c r="T16" s="1" t="n"/>
      <c r="U16" s="5">
        <f>SUMPRODUCT($C$8:$T$8,C16:T16)</f>
        <v/>
      </c>
      <c r="V16" s="5">
        <f>MAX(C16:T16)</f>
        <v/>
      </c>
      <c r="W16" s="1">
        <f>COUNTIF(C16:R16,"&gt;="&amp;$C$3)</f>
        <v/>
      </c>
      <c r="X16" s="5">
        <f>IF(W16=0,0,W16/$C$2)</f>
        <v/>
      </c>
      <c r="Y16" s="5">
        <f>U16*X16*10</f>
        <v/>
      </c>
    </row>
    <row r="17">
      <c r="A17" s="2" t="n">
        <v>9</v>
      </c>
      <c r="B17" s="1" t="inlineStr">
        <is>
          <t>KIA Niro plus</t>
        </is>
      </c>
      <c r="C17" s="1" t="n">
        <v>40.481</v>
      </c>
      <c r="D17" s="1" t="n"/>
      <c r="E17" s="1" t="n">
        <v>5.294</v>
      </c>
      <c r="F17" s="1" t="n"/>
      <c r="G17" s="1" t="n">
        <v>2.346</v>
      </c>
      <c r="H17" s="1" t="n"/>
      <c r="I17" s="1" t="n">
        <v>5.931</v>
      </c>
      <c r="J17" s="1" t="n">
        <v>9.273</v>
      </c>
      <c r="K17" s="1" t="n">
        <v>19.314</v>
      </c>
      <c r="L17" s="1" t="n">
        <v>7.256</v>
      </c>
      <c r="M17" s="1" t="n">
        <v>3.633</v>
      </c>
      <c r="N17" s="1" t="n">
        <v>3.395</v>
      </c>
      <c r="O17" s="1" t="n">
        <v>6.981</v>
      </c>
      <c r="P17" s="1" t="n">
        <v>9.196</v>
      </c>
      <c r="Q17" s="1" t="n">
        <v>4.575</v>
      </c>
      <c r="R17" s="1" t="n"/>
      <c r="S17" s="1" t="n"/>
      <c r="T17" s="1" t="n"/>
      <c r="U17" s="5">
        <f>SUMPRODUCT($C$8:$T$8,C17:T17)</f>
        <v/>
      </c>
      <c r="V17" s="5">
        <f>MAX(C17:T17)</f>
        <v/>
      </c>
      <c r="W17" s="1">
        <f>COUNTIF(C17:R17,"&gt;="&amp;$C$3)</f>
        <v/>
      </c>
      <c r="X17" s="5">
        <f>IF(W17=0,0,W17/$C$2)</f>
        <v/>
      </c>
      <c r="Y17" s="5">
        <f>U17*X17*10</f>
        <v/>
      </c>
    </row>
    <row r="18">
      <c r="A18" s="2" t="n">
        <v>10</v>
      </c>
      <c r="B18" s="1" t="inlineStr">
        <is>
          <t>Tesla 3 Single motor 1 Layer</t>
        </is>
      </c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>
        <v>14.162</v>
      </c>
      <c r="M18" s="1" t="n">
        <v>16.293</v>
      </c>
      <c r="N18" s="1" t="n">
        <v>21.884</v>
      </c>
      <c r="O18" s="1" t="n"/>
      <c r="P18" s="1" t="n">
        <v>15.909</v>
      </c>
      <c r="Q18" s="1" t="n">
        <v>20.021</v>
      </c>
      <c r="R18" s="1" t="n"/>
      <c r="S18" s="1" t="n"/>
      <c r="T18" s="1" t="n"/>
      <c r="U18" s="5">
        <f>SUMPRODUCT($C$8:$T$8,C18:T18)</f>
        <v/>
      </c>
      <c r="V18" s="5">
        <f>MAX(C18:T18)</f>
        <v/>
      </c>
      <c r="W18" s="1">
        <f>COUNTIF(C18:R18,"&gt;="&amp;$C$3)</f>
        <v/>
      </c>
      <c r="X18" s="5">
        <f>IF(W18=0,0,W18/$C$2)</f>
        <v/>
      </c>
      <c r="Y18" s="5">
        <f>U18*X18*10</f>
        <v/>
      </c>
    </row>
    <row r="19">
      <c r="A19" s="2" t="n">
        <v>11</v>
      </c>
      <c r="B19" s="1" t="inlineStr">
        <is>
          <t>Tesla 3 Single motor 2 Layer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>
        <v>12.45</v>
      </c>
      <c r="M19" s="1" t="n">
        <v>13.722</v>
      </c>
      <c r="N19" s="1" t="n">
        <v>16.232</v>
      </c>
      <c r="O19" s="1" t="n"/>
      <c r="P19" s="1" t="n">
        <v>12.485</v>
      </c>
      <c r="Q19" s="1" t="n">
        <v>13.255</v>
      </c>
      <c r="R19" s="1" t="n"/>
      <c r="S19" s="1" t="n"/>
      <c r="T19" s="1" t="n"/>
      <c r="U19" s="5">
        <f>SUMPRODUCT($C$8:$T$8,C19:T19)</f>
        <v/>
      </c>
      <c r="V19" s="5">
        <f>MAX(C19:T19)</f>
        <v/>
      </c>
      <c r="W19" s="1">
        <f>COUNTIF(C19:R19,"&gt;="&amp;$C$3)</f>
        <v/>
      </c>
      <c r="X19" s="5">
        <f>IF(W19=0,0,W19/$C$2)</f>
        <v/>
      </c>
      <c r="Y19" s="5">
        <f>U19*X19*10</f>
        <v/>
      </c>
    </row>
    <row r="20">
      <c r="A20" s="2" t="n">
        <v>12</v>
      </c>
      <c r="B20" s="1" t="inlineStr">
        <is>
          <t>Suzoki swift</t>
        </is>
      </c>
      <c r="C20" s="1" t="n"/>
      <c r="D20" s="1" t="n">
        <v>13.57</v>
      </c>
      <c r="E20" s="1" t="n"/>
      <c r="F20" s="1" t="n">
        <v>3.63</v>
      </c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5">
        <f>SUMPRODUCT($C$8:$T$8,C20:T20)</f>
        <v/>
      </c>
      <c r="V20" s="5">
        <f>MAX(C20:T20)</f>
        <v/>
      </c>
      <c r="W20" s="1">
        <f>COUNTIF(C20:R20,"&gt;="&amp;$C$3)</f>
        <v/>
      </c>
      <c r="X20" s="5">
        <f>IF(W20=0,0,W20/$C$2)</f>
        <v/>
      </c>
      <c r="Y20" s="5">
        <f>U20*X20*10</f>
        <v/>
      </c>
    </row>
    <row r="21">
      <c r="A21" s="2" t="n">
        <v>13</v>
      </c>
      <c r="B21" s="1" t="inlineStr">
        <is>
          <t>toyota rav 4</t>
        </is>
      </c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5">
        <f>SUMPRODUCT($C$8:$T$8,C21:T21)</f>
        <v/>
      </c>
      <c r="V21" s="5">
        <f>MAX(C21:T21)</f>
        <v/>
      </c>
      <c r="W21" s="1">
        <f>COUNTIF(C21:R21,"&gt;="&amp;$C$3)</f>
        <v/>
      </c>
      <c r="X21" s="5">
        <f>IF(W21=0,0,W21/$C$2)</f>
        <v/>
      </c>
      <c r="Y21" s="5">
        <f>U21*X21*10</f>
        <v/>
      </c>
    </row>
    <row r="22">
      <c r="A22" s="2" t="n">
        <v>14</v>
      </c>
      <c r="B22" s="1" t="inlineStr">
        <is>
          <t>KIA NIRO PHEV 2023</t>
        </is>
      </c>
      <c r="C22" s="1" t="n">
        <v>14</v>
      </c>
      <c r="D22" s="1" t="n"/>
      <c r="E22" s="1" t="n"/>
      <c r="F22" s="1" t="n"/>
      <c r="G22" s="1" t="n"/>
      <c r="H22" s="1" t="n"/>
      <c r="I22" s="1" t="n">
        <v>6.6</v>
      </c>
      <c r="J22" s="1" t="n"/>
      <c r="K22" s="1" t="n"/>
      <c r="L22" s="1" t="n">
        <v>11</v>
      </c>
      <c r="M22" s="1" t="n"/>
      <c r="N22" s="1" t="n">
        <v>15</v>
      </c>
      <c r="O22" s="1" t="n"/>
      <c r="P22" s="1" t="n"/>
      <c r="Q22" s="1" t="n"/>
      <c r="R22" s="1" t="n"/>
      <c r="S22" s="1" t="n"/>
      <c r="T22" s="1" t="n"/>
      <c r="U22" s="5">
        <f>SUMPRODUCT($C$8:$T$8,C22:T22)</f>
        <v/>
      </c>
      <c r="V22" s="5">
        <f>MAX(C22:T22)</f>
        <v/>
      </c>
      <c r="W22" s="1">
        <f>COUNTIF(C22:R22,"&gt;="&amp;$C$3)</f>
        <v/>
      </c>
      <c r="X22" s="5">
        <f>IF(W22=0,0,W22/$C$2)</f>
        <v/>
      </c>
      <c r="Y22" s="5">
        <f>U22*X22*10</f>
        <v/>
      </c>
    </row>
    <row r="23">
      <c r="A23" s="2" t="n">
        <v>15</v>
      </c>
      <c r="B23" s="1" t="inlineStr">
        <is>
          <t>Hyundai IONIQ HEV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5">
        <f>SUMPRODUCT($C$8:$T$8,C23:T23)</f>
        <v/>
      </c>
      <c r="V23" s="5">
        <f>MAX(C23:T23)</f>
        <v/>
      </c>
      <c r="W23" s="1">
        <f>COUNTIF(C23:R23,"&gt;="&amp;$C$3)</f>
        <v/>
      </c>
      <c r="X23" s="5">
        <f>IF(W23=0,0,W23/$C$2)</f>
        <v/>
      </c>
      <c r="Y23" s="5">
        <f>U23*X23*10</f>
        <v/>
      </c>
    </row>
    <row r="24">
      <c r="A24" s="2" t="n">
        <v>16</v>
      </c>
      <c r="B24" s="1" t="inlineStr">
        <is>
          <t>MG ZHS 2021 Phev</t>
        </is>
      </c>
      <c r="C24" s="1" t="n"/>
      <c r="D24" s="1" t="n">
        <v>22</v>
      </c>
      <c r="E24" s="1" t="n"/>
      <c r="F24" s="1" t="n"/>
      <c r="G24" s="1" t="n"/>
      <c r="H24" s="1" t="n"/>
      <c r="I24" s="1" t="n"/>
      <c r="J24" s="1" t="n">
        <v>5.5</v>
      </c>
      <c r="K24" s="1" t="n"/>
      <c r="L24" s="1" t="n">
        <v>14.5</v>
      </c>
      <c r="M24" s="1" t="n"/>
      <c r="N24" s="1" t="n">
        <v>3.6</v>
      </c>
      <c r="O24" s="1" t="n">
        <v>1.5</v>
      </c>
      <c r="P24" s="1" t="n">
        <v>1.6</v>
      </c>
      <c r="Q24" s="1" t="n">
        <v>3.9</v>
      </c>
      <c r="R24" s="1" t="n"/>
      <c r="S24" s="1" t="n"/>
      <c r="T24" s="1" t="n"/>
      <c r="U24" s="5">
        <f>SUMPRODUCT($C$8:$T$8,C24:T24)</f>
        <v/>
      </c>
      <c r="V24" s="5">
        <f>MAX(C24:T24)</f>
        <v/>
      </c>
      <c r="W24" s="1">
        <f>COUNTIF(C24:R24,"&gt;="&amp;$C$3)</f>
        <v/>
      </c>
      <c r="X24" s="5">
        <f>IF(W24=0,0,W24/$C$2)</f>
        <v/>
      </c>
      <c r="Y24" s="5">
        <f>U24*X24*10</f>
        <v/>
      </c>
    </row>
    <row r="25">
      <c r="A25" s="2" t="n">
        <v>17</v>
      </c>
      <c r="B25" s="1" t="inlineStr">
        <is>
          <t>toyota yaris hybrid 2017</t>
        </is>
      </c>
      <c r="C25" s="1" t="n"/>
      <c r="D25" s="1" t="n"/>
      <c r="E25" s="1" t="n"/>
      <c r="F25" s="1" t="n"/>
      <c r="G25" s="1" t="n"/>
      <c r="H25" s="1" t="n"/>
      <c r="I25" s="1" t="n">
        <v>2.3</v>
      </c>
      <c r="J25" s="1" t="n"/>
      <c r="K25" s="1" t="n">
        <v>6</v>
      </c>
      <c r="L25" s="1" t="n">
        <v>4.2</v>
      </c>
      <c r="M25" s="1" t="n">
        <v>3.6</v>
      </c>
      <c r="N25" s="1" t="n">
        <v>4.3</v>
      </c>
      <c r="O25" s="1" t="n"/>
      <c r="P25" s="1" t="n"/>
      <c r="Q25" s="1" t="n"/>
      <c r="R25" s="1" t="n"/>
      <c r="S25" s="1" t="n"/>
      <c r="T25" s="1" t="n"/>
      <c r="U25" s="5">
        <f>SUMPRODUCT($C$8:$T$8,C25:T25)</f>
        <v/>
      </c>
      <c r="V25" s="5">
        <f>MAX(C25:T25)</f>
        <v/>
      </c>
      <c r="W25" s="1">
        <f>COUNTIF(C25:R25,"&gt;="&amp;$C$3)</f>
        <v/>
      </c>
      <c r="X25" s="5">
        <f>IF(W25=0,0,W25/$C$2)</f>
        <v/>
      </c>
      <c r="Y25" s="5">
        <f>U25*X25*10</f>
        <v/>
      </c>
    </row>
    <row r="26">
      <c r="A26" s="2" t="n">
        <v>18</v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5">
        <f>SUMPRODUCT($C$8:$T$8,C26:T26)</f>
        <v/>
      </c>
      <c r="V26" s="5">
        <f>MAX(C26:T26)</f>
        <v/>
      </c>
      <c r="W26" s="1">
        <f>COUNTIF(C26:R26,"&gt;="&amp;$C$3)</f>
        <v/>
      </c>
      <c r="X26" s="5">
        <f>IF(W26=0,0,W26/$C$2)</f>
        <v/>
      </c>
      <c r="Y26" s="5">
        <f>U26*X26*10</f>
        <v/>
      </c>
    </row>
    <row r="27">
      <c r="A27" s="2" t="n">
        <v>19</v>
      </c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5">
        <f>SUMPRODUCT($C$8:$T$8,C27:T27)</f>
        <v/>
      </c>
      <c r="V27" s="5">
        <f>MAX(C27:T27)</f>
        <v/>
      </c>
      <c r="W27" s="1">
        <f>COUNTIF(C27:R27,"&gt;="&amp;$C$3)</f>
        <v/>
      </c>
      <c r="X27" s="5">
        <f>IF(W27=0,0,W27/$C$2)</f>
        <v/>
      </c>
      <c r="Y27" s="5">
        <f>U27*X27*10</f>
        <v/>
      </c>
    </row>
    <row r="28">
      <c r="A28" s="2" t="n">
        <v>20</v>
      </c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5">
        <f>SUMPRODUCT($C$8:$T$8,C28:T28)</f>
        <v/>
      </c>
      <c r="V28" s="5">
        <f>MAX(C28:T28)</f>
        <v/>
      </c>
      <c r="W28" s="1">
        <f>COUNTIF(C28:R28,"&gt;="&amp;$C$3)</f>
        <v/>
      </c>
      <c r="X28" s="5">
        <f>IF(W28=0,0,W28/$C$2)</f>
        <v/>
      </c>
      <c r="Y28" s="5">
        <f>U28*X28*10</f>
        <v/>
      </c>
    </row>
    <row r="29">
      <c r="A29" s="2" t="n">
        <v>21</v>
      </c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5">
        <f>SUMPRODUCT($C$8:$T$8,C29:T29)</f>
        <v/>
      </c>
      <c r="V29" s="5">
        <f>MAX(C29:T29)</f>
        <v/>
      </c>
      <c r="W29" s="1">
        <f>COUNTIF(C29:R29,"&gt;="&amp;$C$3)</f>
        <v/>
      </c>
      <c r="X29" s="5">
        <f>IF(W29=0,0,W29/$C$2)</f>
        <v/>
      </c>
      <c r="Y29" s="5">
        <f>U29*X29*10</f>
        <v/>
      </c>
    </row>
    <row r="30">
      <c r="A30" s="2" t="n">
        <v>22</v>
      </c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5">
        <f>SUMPRODUCT($C$8:$T$8,C30:T30)</f>
        <v/>
      </c>
      <c r="V30" s="5">
        <f>MAX(C30:T30)</f>
        <v/>
      </c>
      <c r="W30" s="1">
        <f>COUNTIF(C30:R30,"&gt;="&amp;$C$3)</f>
        <v/>
      </c>
      <c r="X30" s="5">
        <f>IF(W30=0,0,W30/$C$2)</f>
        <v/>
      </c>
      <c r="Y30" s="5">
        <f>U30*X30*10</f>
        <v/>
      </c>
    </row>
    <row r="31">
      <c r="A31" s="2" t="n">
        <v>23</v>
      </c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5">
        <f>SUMPRODUCT($C$8:$T$8,C31:T31)</f>
        <v/>
      </c>
      <c r="V31" s="5">
        <f>MAX(C31:T31)</f>
        <v/>
      </c>
      <c r="W31" s="1">
        <f>COUNTIF(C31:R31,"&gt;="&amp;$C$3)</f>
        <v/>
      </c>
      <c r="X31" s="5">
        <f>IF(W31=0,0,W31/$C$2)</f>
        <v/>
      </c>
      <c r="Y31" s="5">
        <f>U31*X31*10</f>
        <v/>
      </c>
    </row>
    <row r="32">
      <c r="A32" s="2" t="n">
        <v>24</v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5">
        <f>SUMPRODUCT($C$8:$T$8,C32:T32)</f>
        <v/>
      </c>
      <c r="V32" s="5">
        <f>MAX(C32:T32)</f>
        <v/>
      </c>
      <c r="W32" s="1">
        <f>COUNTIF(C32:R32,"&gt;="&amp;$C$3)</f>
        <v/>
      </c>
      <c r="X32" s="5">
        <f>IF(W32=0,0,W32/$C$2)</f>
        <v/>
      </c>
      <c r="Y32" s="5">
        <f>U32*X32*10</f>
        <v/>
      </c>
    </row>
    <row r="33">
      <c r="A33" s="2" t="n">
        <v>25</v>
      </c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5">
        <f>SUMPRODUCT($C$8:$T$8,C33:T33)</f>
        <v/>
      </c>
      <c r="V33" s="5">
        <f>MAX(C33:T33)</f>
        <v/>
      </c>
      <c r="W33" s="1">
        <f>COUNTIF(C33:R33,"&gt;="&amp;$C$3)</f>
        <v/>
      </c>
      <c r="X33" s="5">
        <f>IF(W33=0,0,W33/$C$2)</f>
        <v/>
      </c>
      <c r="Y33" s="5">
        <f>U33*X33*10</f>
        <v/>
      </c>
    </row>
    <row r="34">
      <c r="A34" s="2" t="n">
        <v>26</v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5">
        <f>SUMPRODUCT($C$8:$T$8,C34:T34)</f>
        <v/>
      </c>
      <c r="V34" s="5">
        <f>MAX(C34:T34)</f>
        <v/>
      </c>
      <c r="W34" s="1">
        <f>COUNTIF(C34:R34,"&gt;="&amp;$C$3)</f>
        <v/>
      </c>
      <c r="X34" s="5">
        <f>IF(W34=0,0,W34/$C$2)</f>
        <v/>
      </c>
      <c r="Y34" s="5">
        <f>U34*X34*10</f>
        <v/>
      </c>
    </row>
    <row r="35">
      <c r="A35" s="2" t="n">
        <v>27</v>
      </c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5">
        <f>SUMPRODUCT($C$8:$T$8,C35:T35)</f>
        <v/>
      </c>
      <c r="V35" s="5">
        <f>MAX(C35:T35)</f>
        <v/>
      </c>
      <c r="W35" s="1">
        <f>COUNTIF(C35:R35,"&gt;="&amp;$C$3)</f>
        <v/>
      </c>
      <c r="X35" s="5">
        <f>IF(W35=0,0,W35/$C$2)</f>
        <v/>
      </c>
      <c r="Y35" s="5">
        <f>U35*X35*10</f>
        <v/>
      </c>
    </row>
    <row r="36">
      <c r="A36" s="2" t="n">
        <v>28</v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5">
        <f>SUMPRODUCT($C$8:$T$8,C36:T36)</f>
        <v/>
      </c>
      <c r="V36" s="5">
        <f>MAX(C36:T36)</f>
        <v/>
      </c>
      <c r="W36" s="1">
        <f>COUNTIF(C36:R36,"&gt;="&amp;$C$3)</f>
        <v/>
      </c>
      <c r="X36" s="5">
        <f>IF(W36=0,0,W36/$C$2)</f>
        <v/>
      </c>
      <c r="Y36" s="5">
        <f>U36*X36*10</f>
        <v/>
      </c>
    </row>
    <row r="37">
      <c r="A37" s="2" t="n">
        <v>29</v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5">
        <f>SUMPRODUCT($C$8:$T$8,C37:T37)</f>
        <v/>
      </c>
      <c r="V37" s="5">
        <f>MAX(C37:T37)</f>
        <v/>
      </c>
      <c r="W37" s="1">
        <f>COUNTIF(C37:R37,"&gt;="&amp;$C$3)</f>
        <v/>
      </c>
      <c r="X37" s="5">
        <f>IF(W37=0,0,W37/$C$2)</f>
        <v/>
      </c>
      <c r="Y37" s="5">
        <f>U37*X37*10</f>
        <v/>
      </c>
    </row>
    <row r="38">
      <c r="A38" s="2" t="n">
        <v>30</v>
      </c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5">
        <f>SUMPRODUCT($C$8:$T$8,C38:T38)</f>
        <v/>
      </c>
      <c r="V38" s="5">
        <f>MAX(C38:T38)</f>
        <v/>
      </c>
      <c r="W38" s="1">
        <f>COUNTIF(C38:R38,"&gt;="&amp;$C$3)</f>
        <v/>
      </c>
      <c r="X38" s="5">
        <f>IF(W38=0,0,W38/$C$2)</f>
        <v/>
      </c>
      <c r="Y38" s="5">
        <f>U38*X38*10</f>
        <v/>
      </c>
    </row>
    <row r="39">
      <c r="A39" s="2" t="n">
        <v>31</v>
      </c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5">
        <f>SUMPRODUCT($C$8:$T$8,C39:T39)</f>
        <v/>
      </c>
      <c r="V39" s="5">
        <f>MAX(C39:T39)</f>
        <v/>
      </c>
      <c r="W39" s="1">
        <f>COUNTIF(C39:R39,"&gt;="&amp;$C$3)</f>
        <v/>
      </c>
      <c r="X39" s="5">
        <f>IF(W39=0,0,W39/$C$2)</f>
        <v/>
      </c>
      <c r="Y39" s="5">
        <f>U39*X39*10</f>
        <v/>
      </c>
    </row>
    <row r="40">
      <c r="A40" s="2" t="n">
        <v>32</v>
      </c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5">
        <f>SUMPRODUCT($C$8:$T$8,C40:T40)</f>
        <v/>
      </c>
      <c r="V40" s="5">
        <f>MAX(C40:T40)</f>
        <v/>
      </c>
      <c r="W40" s="1">
        <f>COUNTIF(C40:R40,"&gt;="&amp;$C$3)</f>
        <v/>
      </c>
      <c r="X40" s="5">
        <f>IF(W40=0,0,W40/$C$2)</f>
        <v/>
      </c>
      <c r="Y40" s="5">
        <f>U40*X40*10</f>
        <v/>
      </c>
    </row>
    <row r="41">
      <c r="A41" s="2" t="n">
        <v>33</v>
      </c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5">
        <f>SUMPRODUCT($C$8:$T$8,C41:T41)</f>
        <v/>
      </c>
      <c r="V41" s="5">
        <f>MAX(C41:T41)</f>
        <v/>
      </c>
      <c r="W41" s="1">
        <f>COUNTIF(C41:R41,"&gt;="&amp;$C$3)</f>
        <v/>
      </c>
      <c r="X41" s="5">
        <f>IF(W41=0,0,W41/$C$2)</f>
        <v/>
      </c>
      <c r="Y41" s="5">
        <f>U41*X41*10</f>
        <v/>
      </c>
    </row>
    <row r="42">
      <c r="A42" s="2" t="n">
        <v>34</v>
      </c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5">
        <f>SUMPRODUCT($C$8:$T$8,C42:T42)</f>
        <v/>
      </c>
      <c r="V42" s="5">
        <f>MAX(C42:T42)</f>
        <v/>
      </c>
      <c r="W42" s="1">
        <f>COUNTIF(C42:R42,"&gt;="&amp;$C$3)</f>
        <v/>
      </c>
      <c r="X42" s="5">
        <f>IF(W42=0,0,W42/$C$2)</f>
        <v/>
      </c>
      <c r="Y42" s="5">
        <f>U42*X42*10</f>
        <v/>
      </c>
    </row>
    <row r="43">
      <c r="A43" s="2" t="n">
        <v>35</v>
      </c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5">
        <f>SUMPRODUCT($C$8:$T$8,C43:T43)</f>
        <v/>
      </c>
      <c r="V43" s="5">
        <f>MAX(C43:T43)</f>
        <v/>
      </c>
      <c r="W43" s="1">
        <f>COUNTIF(C43:R43,"&gt;="&amp;$C$3)</f>
        <v/>
      </c>
      <c r="X43" s="5">
        <f>IF(W43=0,0,W43/$C$2)</f>
        <v/>
      </c>
      <c r="Y43" s="5">
        <f>U43*X43*10</f>
        <v/>
      </c>
    </row>
    <row r="44">
      <c r="A44" s="2" t="n">
        <v>36</v>
      </c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5">
        <f>SUMPRODUCT($C$8:$T$8,C44:T44)</f>
        <v/>
      </c>
      <c r="V44" s="5">
        <f>MAX(C44:T44)</f>
        <v/>
      </c>
      <c r="W44" s="1">
        <f>COUNTIF(C44:R44,"&gt;="&amp;$C$3)</f>
        <v/>
      </c>
      <c r="X44" s="5">
        <f>IF(W44=0,0,W44/$C$2)</f>
        <v/>
      </c>
      <c r="Y44" s="5">
        <f>U44*X44*10</f>
        <v/>
      </c>
    </row>
    <row r="45">
      <c r="A45" s="2" t="n">
        <v>37</v>
      </c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5">
        <f>SUMPRODUCT($C$8:$T$8,C45:T45)</f>
        <v/>
      </c>
      <c r="V45" s="5">
        <f>MAX(C45:T45)</f>
        <v/>
      </c>
      <c r="W45" s="1">
        <f>COUNTIF(C45:R45,"&gt;="&amp;$C$3)</f>
        <v/>
      </c>
      <c r="X45" s="5">
        <f>IF(W45=0,0,W45/$C$2)</f>
        <v/>
      </c>
      <c r="Y45" s="5">
        <f>U45*X45*10</f>
        <v/>
      </c>
    </row>
    <row r="46">
      <c r="A46" s="2" t="n">
        <v>38</v>
      </c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5">
        <f>SUMPRODUCT($C$8:$T$8,C46:T46)</f>
        <v/>
      </c>
      <c r="V46" s="5">
        <f>MAX(C46:T46)</f>
        <v/>
      </c>
      <c r="W46" s="1">
        <f>COUNTIF(C46:R46,"&gt;="&amp;$C$3)</f>
        <v/>
      </c>
      <c r="X46" s="5">
        <f>IF(W46=0,0,W46/$C$2)</f>
        <v/>
      </c>
      <c r="Y46" s="5">
        <f>U46*X46*10</f>
        <v/>
      </c>
    </row>
    <row r="47">
      <c r="A47" s="2" t="n">
        <v>39</v>
      </c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5">
        <f>SUMPRODUCT($C$8:$T$8,C47:T47)</f>
        <v/>
      </c>
      <c r="V47" s="5">
        <f>MAX(C47:T47)</f>
        <v/>
      </c>
      <c r="W47" s="1">
        <f>COUNTIF(C47:R47,"&gt;="&amp;$C$3)</f>
        <v/>
      </c>
      <c r="X47" s="5">
        <f>IF(W47=0,0,W47/$C$2)</f>
        <v/>
      </c>
      <c r="Y47" s="5">
        <f>U47*X47*10</f>
        <v/>
      </c>
    </row>
    <row r="48">
      <c r="A48" s="2" t="n">
        <v>40</v>
      </c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5">
        <f>SUMPRODUCT($C$8:$T$8,C48:T48)</f>
        <v/>
      </c>
      <c r="V48" s="5">
        <f>MAX(C48:T48)</f>
        <v/>
      </c>
      <c r="W48" s="1">
        <f>COUNTIF(C48:R48,"&gt;="&amp;$C$3)</f>
        <v/>
      </c>
      <c r="X48" s="5">
        <f>IF(W48=0,0,W48/$C$2)</f>
        <v/>
      </c>
      <c r="Y48" s="5">
        <f>U48*X48*10</f>
        <v/>
      </c>
    </row>
    <row r="49">
      <c r="A49" s="2" t="n">
        <v>41</v>
      </c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5">
        <f>SUMPRODUCT($C$8:$T$8,C49:T49)</f>
        <v/>
      </c>
      <c r="V49" s="5">
        <f>MAX(C49:T49)</f>
        <v/>
      </c>
      <c r="W49" s="1">
        <f>COUNTIF(C49:R49,"&gt;="&amp;$C$3)</f>
        <v/>
      </c>
      <c r="X49" s="5">
        <f>IF(W49=0,0,W49/$C$2)</f>
        <v/>
      </c>
      <c r="Y49" s="5">
        <f>U49*X49*10</f>
        <v/>
      </c>
    </row>
    <row r="50">
      <c r="A50" s="2" t="n">
        <v>42</v>
      </c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5">
        <f>SUMPRODUCT($C$8:$T$8,C50:T50)</f>
        <v/>
      </c>
      <c r="V50" s="5">
        <f>MAX(C50:T50)</f>
        <v/>
      </c>
      <c r="W50" s="1">
        <f>COUNTIF(C50:R50,"&gt;="&amp;$C$3)</f>
        <v/>
      </c>
      <c r="X50" s="5">
        <f>IF(W50=0,0,W50/$C$2)</f>
        <v/>
      </c>
      <c r="Y50" s="5">
        <f>U50*X50*10</f>
        <v/>
      </c>
    </row>
    <row r="51">
      <c r="A51" s="2" t="n">
        <v>43</v>
      </c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5">
        <f>SUMPRODUCT($C$8:$T$8,C51:T51)</f>
        <v/>
      </c>
      <c r="V51" s="5">
        <f>MAX(C51:T51)</f>
        <v/>
      </c>
      <c r="W51" s="1">
        <f>COUNTIF(C51:R51,"&gt;="&amp;$C$3)</f>
        <v/>
      </c>
      <c r="X51" s="5">
        <f>IF(W51=0,0,W51/$C$2)</f>
        <v/>
      </c>
      <c r="Y51" s="5">
        <f>U51*X51*10</f>
        <v/>
      </c>
    </row>
    <row r="52">
      <c r="A52" s="2" t="n">
        <v>44</v>
      </c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5">
        <f>SUMPRODUCT($C$8:$T$8,C52:T52)</f>
        <v/>
      </c>
      <c r="V52" s="5">
        <f>MAX(C52:T52)</f>
        <v/>
      </c>
      <c r="W52" s="1">
        <f>COUNTIF(C52:R52,"&gt;="&amp;$C$3)</f>
        <v/>
      </c>
      <c r="X52" s="5">
        <f>IF(W52=0,0,W52/$C$2)</f>
        <v/>
      </c>
      <c r="Y52" s="5">
        <f>U52*X52*10</f>
        <v/>
      </c>
    </row>
    <row r="53">
      <c r="A53" s="2" t="n">
        <v>45</v>
      </c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5">
        <f>SUMPRODUCT($C$8:$T$8,C53:T53)</f>
        <v/>
      </c>
      <c r="V53" s="5">
        <f>MAX(C53:T53)</f>
        <v/>
      </c>
      <c r="W53" s="1">
        <f>COUNTIF(C53:R53,"&gt;="&amp;$C$3)</f>
        <v/>
      </c>
      <c r="X53" s="5">
        <f>IF(W53=0,0,W53/$C$2)</f>
        <v/>
      </c>
      <c r="Y53" s="5">
        <f>U53*X53*10</f>
        <v/>
      </c>
    </row>
    <row r="54">
      <c r="A54" s="2" t="n">
        <v>46</v>
      </c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5">
        <f>SUMPRODUCT($C$8:$T$8,C54:T54)</f>
        <v/>
      </c>
      <c r="V54" s="5">
        <f>MAX(C54:T54)</f>
        <v/>
      </c>
      <c r="W54" s="1">
        <f>COUNTIF(C54:R54,"&gt;="&amp;$C$3)</f>
        <v/>
      </c>
      <c r="X54" s="5">
        <f>IF(W54=0,0,W54/$C$2)</f>
        <v/>
      </c>
      <c r="Y54" s="5">
        <f>U54*X54*10</f>
        <v/>
      </c>
    </row>
    <row r="55">
      <c r="A55" s="2" t="n">
        <v>47</v>
      </c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5">
        <f>SUMPRODUCT($C$8:$T$8,C55:T55)</f>
        <v/>
      </c>
      <c r="V55" s="5">
        <f>MAX(C55:T55)</f>
        <v/>
      </c>
      <c r="W55" s="1">
        <f>COUNTIF(C55:R55,"&gt;="&amp;$C$3)</f>
        <v/>
      </c>
      <c r="X55" s="5">
        <f>IF(W55=0,0,W55/$C$2)</f>
        <v/>
      </c>
      <c r="Y55" s="5">
        <f>U55*X55*10</f>
        <v/>
      </c>
    </row>
    <row r="56">
      <c r="A56" s="2" t="n">
        <v>48</v>
      </c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5">
        <f>SUMPRODUCT($C$8:$T$8,C56:T56)</f>
        <v/>
      </c>
      <c r="V56" s="5">
        <f>MAX(C56:T56)</f>
        <v/>
      </c>
      <c r="W56" s="1">
        <f>COUNTIF(C56:R56,"&gt;="&amp;$C$3)</f>
        <v/>
      </c>
      <c r="X56" s="5">
        <f>IF(W56=0,0,W56/$C$2)</f>
        <v/>
      </c>
      <c r="Y56" s="5">
        <f>U56*X56*10</f>
        <v/>
      </c>
    </row>
    <row r="57">
      <c r="A57" s="2" t="n">
        <v>49</v>
      </c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5">
        <f>SUMPRODUCT($C$8:$T$8,C57:T57)</f>
        <v/>
      </c>
      <c r="V57" s="5">
        <f>MAX(C57:T57)</f>
        <v/>
      </c>
      <c r="W57" s="1">
        <f>COUNTIF(C57:R57,"&gt;="&amp;$C$3)</f>
        <v/>
      </c>
      <c r="X57" s="5">
        <f>IF(W57=0,0,W57/$C$2)</f>
        <v/>
      </c>
      <c r="Y57" s="5">
        <f>U57*X57*10</f>
        <v/>
      </c>
    </row>
    <row r="58">
      <c r="A58" s="2" t="n">
        <v>50</v>
      </c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5">
        <f>SUMPRODUCT($C$8:$T$8,C58:T58)</f>
        <v/>
      </c>
      <c r="V58" s="5">
        <f>MAX(C58:T58)</f>
        <v/>
      </c>
      <c r="W58" s="1">
        <f>COUNTIF(C58:R58,"&gt;="&amp;$C$3)</f>
        <v/>
      </c>
      <c r="X58" s="5">
        <f>IF(W58=0,0,W58/$C$2)</f>
        <v/>
      </c>
      <c r="Y58" s="5">
        <f>U58*X58*10</f>
        <v/>
      </c>
    </row>
    <row r="59">
      <c r="A59" s="2" t="n">
        <v>51</v>
      </c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5">
        <f>SUMPRODUCT($C$8:$T$8,C59:T59)</f>
        <v/>
      </c>
      <c r="V59" s="5">
        <f>MAX(C59:T59)</f>
        <v/>
      </c>
      <c r="W59" s="1">
        <f>COUNTIF(C59:R59,"&gt;="&amp;$C$3)</f>
        <v/>
      </c>
      <c r="X59" s="5">
        <f>IF(W59=0,0,W59/$C$2)</f>
        <v/>
      </c>
      <c r="Y59" s="5">
        <f>U59*X59*10</f>
        <v/>
      </c>
    </row>
    <row r="60">
      <c r="A60" s="2" t="n">
        <v>52</v>
      </c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5">
        <f>SUMPRODUCT($C$8:$T$8,C60:T60)</f>
        <v/>
      </c>
      <c r="V60" s="5">
        <f>MAX(C60:T60)</f>
        <v/>
      </c>
      <c r="W60" s="1">
        <f>COUNTIF(C60:R60,"&gt;="&amp;$C$3)</f>
        <v/>
      </c>
      <c r="X60" s="5">
        <f>IF(W60=0,0,W60/$C$2)</f>
        <v/>
      </c>
      <c r="Y60" s="5">
        <f>U60*X60*10</f>
        <v/>
      </c>
    </row>
    <row r="61">
      <c r="A61" s="2" t="n">
        <v>53</v>
      </c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5">
        <f>SUMPRODUCT($C$8:$T$8,C61:T61)</f>
        <v/>
      </c>
      <c r="V61" s="5">
        <f>MAX(C61:T61)</f>
        <v/>
      </c>
      <c r="W61" s="1">
        <f>COUNTIF(C61:R61,"&gt;="&amp;$C$3)</f>
        <v/>
      </c>
      <c r="X61" s="5">
        <f>IF(W61=0,0,W61/$C$2)</f>
        <v/>
      </c>
      <c r="Y61" s="5">
        <f>U61*X61*10</f>
        <v/>
      </c>
    </row>
    <row r="62">
      <c r="A62" s="2" t="n">
        <v>54</v>
      </c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5">
        <f>SUMPRODUCT($C$8:$T$8,C62:T62)</f>
        <v/>
      </c>
      <c r="V62" s="5">
        <f>MAX(C62:T62)</f>
        <v/>
      </c>
      <c r="W62" s="1">
        <f>COUNTIF(C62:R62,"&gt;="&amp;$C$3)</f>
        <v/>
      </c>
      <c r="X62" s="5">
        <f>IF(W62=0,0,W62/$C$2)</f>
        <v/>
      </c>
      <c r="Y62" s="5">
        <f>U62*X62*10</f>
        <v/>
      </c>
    </row>
    <row r="63">
      <c r="A63" s="2" t="n">
        <v>55</v>
      </c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5">
        <f>SUMPRODUCT($C$8:$T$8,C63:T63)</f>
        <v/>
      </c>
      <c r="V63" s="5">
        <f>MAX(C63:T63)</f>
        <v/>
      </c>
      <c r="W63" s="1">
        <f>COUNTIF(C63:R63,"&gt;="&amp;$C$3)</f>
        <v/>
      </c>
      <c r="X63" s="5">
        <f>IF(W63=0,0,W63/$C$2)</f>
        <v/>
      </c>
      <c r="Y63" s="5">
        <f>U63*X63*10</f>
        <v/>
      </c>
    </row>
    <row r="64">
      <c r="A64" s="2" t="n">
        <v>56</v>
      </c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5">
        <f>SUMPRODUCT($C$8:$T$8,C64:T64)</f>
        <v/>
      </c>
      <c r="V64" s="5">
        <f>MAX(C64:T64)</f>
        <v/>
      </c>
      <c r="W64" s="1">
        <f>COUNTIF(C64:R64,"&gt;="&amp;$C$3)</f>
        <v/>
      </c>
      <c r="X64" s="5">
        <f>IF(W64=0,0,W64/$C$2)</f>
        <v/>
      </c>
      <c r="Y64" s="5">
        <f>U64*X64*10</f>
        <v/>
      </c>
    </row>
    <row r="65">
      <c r="A65" s="2" t="n">
        <v>57</v>
      </c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5">
        <f>SUMPRODUCT($C$8:$T$8,C65:T65)</f>
        <v/>
      </c>
      <c r="V65" s="5">
        <f>MAX(C65:T65)</f>
        <v/>
      </c>
      <c r="W65" s="1">
        <f>COUNTIF(C65:R65,"&gt;="&amp;$C$3)</f>
        <v/>
      </c>
      <c r="X65" s="5">
        <f>IF(W65=0,0,W65/$C$2)</f>
        <v/>
      </c>
      <c r="Y65" s="5">
        <f>U65*X65*10</f>
        <v/>
      </c>
    </row>
    <row r="66">
      <c r="A66" s="2" t="n">
        <v>58</v>
      </c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5">
        <f>SUMPRODUCT($C$8:$T$8,C66:T66)</f>
        <v/>
      </c>
      <c r="V66" s="5">
        <f>MAX(C66:T66)</f>
        <v/>
      </c>
      <c r="W66" s="1">
        <f>COUNTIF(C66:R66,"&gt;="&amp;$C$3)</f>
        <v/>
      </c>
      <c r="X66" s="5">
        <f>IF(W66=0,0,W66/$C$2)</f>
        <v/>
      </c>
      <c r="Y66" s="5">
        <f>U66*X66*10</f>
        <v/>
      </c>
    </row>
    <row r="67">
      <c r="A67" s="2" t="n">
        <v>59</v>
      </c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5">
        <f>SUMPRODUCT($C$8:$T$8,C67:T67)</f>
        <v/>
      </c>
      <c r="V67" s="5">
        <f>MAX(C67:T67)</f>
        <v/>
      </c>
      <c r="W67" s="1">
        <f>COUNTIF(C67:R67,"&gt;="&amp;$C$3)</f>
        <v/>
      </c>
      <c r="X67" s="5">
        <f>IF(W67=0,0,W67/$C$2)</f>
        <v/>
      </c>
      <c r="Y67" s="5">
        <f>U67*X67*10</f>
        <v/>
      </c>
    </row>
    <row r="68">
      <c r="A68" s="2" t="n">
        <v>60</v>
      </c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5">
        <f>SUMPRODUCT($C$8:$T$8,C68:T68)</f>
        <v/>
      </c>
      <c r="V68" s="5">
        <f>MAX(C68:T68)</f>
        <v/>
      </c>
      <c r="W68" s="1">
        <f>COUNTIF(C68:R68,"&gt;="&amp;$C$3)</f>
        <v/>
      </c>
      <c r="X68" s="5">
        <f>IF(W68=0,0,W68/$C$2)</f>
        <v/>
      </c>
      <c r="Y68" s="5">
        <f>U68*X68*10</f>
        <v/>
      </c>
    </row>
    <row r="69">
      <c r="A69" s="2" t="n">
        <v>61</v>
      </c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5">
        <f>SUMPRODUCT($C$8:$T$8,C69:T69)</f>
        <v/>
      </c>
      <c r="V69" s="5">
        <f>MAX(C69:T69)</f>
        <v/>
      </c>
      <c r="W69" s="1">
        <f>COUNTIF(C69:R69,"&gt;="&amp;$C$3)</f>
        <v/>
      </c>
      <c r="X69" s="5">
        <f>IF(W69=0,0,W69/$C$2)</f>
        <v/>
      </c>
      <c r="Y69" s="5">
        <f>U69*X69*10</f>
        <v/>
      </c>
    </row>
    <row r="70">
      <c r="A70" s="2" t="n">
        <v>62</v>
      </c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5">
        <f>SUMPRODUCT($C$8:$T$8,C70:T70)</f>
        <v/>
      </c>
      <c r="V70" s="5">
        <f>MAX(C70:T70)</f>
        <v/>
      </c>
      <c r="W70" s="1">
        <f>COUNTIF(C70:R70,"&gt;="&amp;$C$3)</f>
        <v/>
      </c>
      <c r="X70" s="5">
        <f>IF(W70=0,0,W70/$C$2)</f>
        <v/>
      </c>
      <c r="Y70" s="5">
        <f>U70*X70*10</f>
        <v/>
      </c>
    </row>
    <row r="71">
      <c r="A71" s="2" t="n">
        <v>63</v>
      </c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5">
        <f>SUMPRODUCT($C$8:$T$8,C71:T71)</f>
        <v/>
      </c>
      <c r="V71" s="5">
        <f>MAX(C71:T71)</f>
        <v/>
      </c>
      <c r="W71" s="1">
        <f>COUNTIF(C71:R71,"&gt;="&amp;$C$3)</f>
        <v/>
      </c>
      <c r="X71" s="5">
        <f>IF(W71=0,0,W71/$C$2)</f>
        <v/>
      </c>
      <c r="Y71" s="5">
        <f>U71*X71*10</f>
        <v/>
      </c>
    </row>
    <row r="72">
      <c r="A72" s="2" t="n">
        <v>64</v>
      </c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5">
        <f>SUMPRODUCT($C$8:$T$8,C72:T72)</f>
        <v/>
      </c>
      <c r="V72" s="5">
        <f>MAX(C72:T72)</f>
        <v/>
      </c>
      <c r="W72" s="1">
        <f>COUNTIF(C72:R72,"&gt;="&amp;$C$3)</f>
        <v/>
      </c>
      <c r="X72" s="5">
        <f>IF(W72=0,0,W72/$C$2)</f>
        <v/>
      </c>
      <c r="Y72" s="5">
        <f>U72*X72*10</f>
        <v/>
      </c>
    </row>
    <row r="73">
      <c r="A73" s="2" t="n">
        <v>65</v>
      </c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5">
        <f>SUMPRODUCT($C$8:$T$8,C73:T73)</f>
        <v/>
      </c>
      <c r="V73" s="5">
        <f>MAX(C73:T73)</f>
        <v/>
      </c>
      <c r="W73" s="1">
        <f>COUNTIF(C73:R73,"&gt;="&amp;$C$3)</f>
        <v/>
      </c>
      <c r="X73" s="5">
        <f>IF(W73=0,0,W73/$C$2)</f>
        <v/>
      </c>
      <c r="Y73" s="5">
        <f>U73*X73*10</f>
        <v/>
      </c>
    </row>
    <row r="74">
      <c r="A74" s="2" t="n">
        <v>66</v>
      </c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5">
        <f>SUMPRODUCT($C$8:$T$8,C74:T74)</f>
        <v/>
      </c>
      <c r="V74" s="5">
        <f>MAX(C74:T74)</f>
        <v/>
      </c>
      <c r="W74" s="1">
        <f>COUNTIF(C74:R74,"&gt;="&amp;$C$3)</f>
        <v/>
      </c>
      <c r="X74" s="5">
        <f>IF(W74=0,0,W74/$C$2)</f>
        <v/>
      </c>
      <c r="Y74" s="5">
        <f>U74*X74*10</f>
        <v/>
      </c>
    </row>
    <row r="75">
      <c r="A75" s="2" t="n">
        <v>67</v>
      </c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5">
        <f>SUMPRODUCT($C$8:$T$8,C75:T75)</f>
        <v/>
      </c>
      <c r="V75" s="5">
        <f>MAX(C75:T75)</f>
        <v/>
      </c>
      <c r="W75" s="1">
        <f>COUNTIF(C75:R75,"&gt;="&amp;$C$3)</f>
        <v/>
      </c>
      <c r="X75" s="5">
        <f>IF(W75=0,0,W75/$C$2)</f>
        <v/>
      </c>
      <c r="Y75" s="5">
        <f>U75*X75*10</f>
        <v/>
      </c>
    </row>
    <row r="76">
      <c r="A76" s="2" t="n">
        <v>68</v>
      </c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5">
        <f>SUMPRODUCT($C$8:$T$8,C76:T76)</f>
        <v/>
      </c>
      <c r="V76" s="5">
        <f>MAX(C76:T76)</f>
        <v/>
      </c>
      <c r="W76" s="1">
        <f>COUNTIF(C76:R76,"&gt;="&amp;$C$3)</f>
        <v/>
      </c>
      <c r="X76" s="5">
        <f>IF(W76=0,0,W76/$C$2)</f>
        <v/>
      </c>
      <c r="Y76" s="5">
        <f>U76*X76*10</f>
        <v/>
      </c>
    </row>
    <row r="77">
      <c r="A77" s="2" t="n">
        <v>69</v>
      </c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5">
        <f>SUMPRODUCT($C$8:$T$8,C77:T77)</f>
        <v/>
      </c>
      <c r="V77" s="5">
        <f>MAX(C77:T77)</f>
        <v/>
      </c>
      <c r="W77" s="1">
        <f>COUNTIF(C77:R77,"&gt;="&amp;$C$3)</f>
        <v/>
      </c>
      <c r="X77" s="5">
        <f>IF(W77=0,0,W77/$C$2)</f>
        <v/>
      </c>
      <c r="Y77" s="5">
        <f>U77*X77*10</f>
        <v/>
      </c>
    </row>
    <row r="78">
      <c r="A78" s="2" t="n">
        <v>70</v>
      </c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5">
        <f>SUMPRODUCT($C$8:$T$8,C78:T78)</f>
        <v/>
      </c>
      <c r="V78" s="5">
        <f>MAX(C78:T78)</f>
        <v/>
      </c>
      <c r="W78" s="1">
        <f>COUNTIF(C78:R78,"&gt;="&amp;$C$3)</f>
        <v/>
      </c>
      <c r="X78" s="5">
        <f>IF(W78=0,0,W78/$C$2)</f>
        <v/>
      </c>
      <c r="Y78" s="5">
        <f>U78*X78*10</f>
        <v/>
      </c>
    </row>
    <row r="79">
      <c r="A79" s="2" t="n">
        <v>71</v>
      </c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5">
        <f>SUMPRODUCT($C$8:$T$8,C79:T79)</f>
        <v/>
      </c>
      <c r="V79" s="5">
        <f>MAX(C79:T79)</f>
        <v/>
      </c>
      <c r="W79" s="1">
        <f>COUNTIF(C79:R79,"&gt;="&amp;$C$3)</f>
        <v/>
      </c>
      <c r="X79" s="5">
        <f>IF(W79=0,0,W79/$C$2)</f>
        <v/>
      </c>
      <c r="Y79" s="5">
        <f>U79*X79*10</f>
        <v/>
      </c>
    </row>
    <row r="80">
      <c r="A80" s="2" t="n">
        <v>72</v>
      </c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5">
        <f>SUMPRODUCT($C$8:$T$8,C80:T80)</f>
        <v/>
      </c>
      <c r="V80" s="5">
        <f>MAX(C80:T80)</f>
        <v/>
      </c>
      <c r="W80" s="1">
        <f>COUNTIF(C80:R80,"&gt;="&amp;$C$3)</f>
        <v/>
      </c>
      <c r="X80" s="5">
        <f>IF(W80=0,0,W80/$C$2)</f>
        <v/>
      </c>
      <c r="Y80" s="5">
        <f>U80*X80*10</f>
        <v/>
      </c>
    </row>
    <row r="81">
      <c r="A81" s="2" t="n">
        <v>73</v>
      </c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5">
        <f>SUMPRODUCT($C$8:$T$8,C81:T81)</f>
        <v/>
      </c>
      <c r="V81" s="5">
        <f>MAX(C81:T81)</f>
        <v/>
      </c>
      <c r="W81" s="1">
        <f>COUNTIF(C81:R81,"&gt;="&amp;$C$3)</f>
        <v/>
      </c>
      <c r="X81" s="5">
        <f>IF(W81=0,0,W81/$C$2)</f>
        <v/>
      </c>
      <c r="Y81" s="5">
        <f>U81*X81*10</f>
        <v/>
      </c>
    </row>
    <row r="82">
      <c r="A82" s="2" t="n">
        <v>74</v>
      </c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5">
        <f>SUMPRODUCT($C$8:$T$8,C82:T82)</f>
        <v/>
      </c>
      <c r="V82" s="5">
        <f>MAX(C82:T82)</f>
        <v/>
      </c>
      <c r="W82" s="1">
        <f>COUNTIF(C82:R82,"&gt;="&amp;$C$3)</f>
        <v/>
      </c>
      <c r="X82" s="5">
        <f>IF(W82=0,0,W82/$C$2)</f>
        <v/>
      </c>
      <c r="Y82" s="5">
        <f>U82*X82*10</f>
        <v/>
      </c>
    </row>
    <row r="83">
      <c r="A83" s="2" t="n">
        <v>75</v>
      </c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5">
        <f>SUMPRODUCT($C$8:$T$8,C83:T83)</f>
        <v/>
      </c>
      <c r="V83" s="5">
        <f>MAX(C83:T83)</f>
        <v/>
      </c>
      <c r="W83" s="1">
        <f>COUNTIF(C83:R83,"&gt;="&amp;$C$3)</f>
        <v/>
      </c>
      <c r="X83" s="5">
        <f>IF(W83=0,0,W83/$C$2)</f>
        <v/>
      </c>
      <c r="Y83" s="5">
        <f>U83*X83*10</f>
        <v/>
      </c>
    </row>
    <row r="84">
      <c r="A84" s="2" t="n">
        <v>76</v>
      </c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5">
        <f>SUMPRODUCT($C$8:$T$8,C84:T84)</f>
        <v/>
      </c>
      <c r="V84" s="5">
        <f>MAX(C84:T84)</f>
        <v/>
      </c>
      <c r="W84" s="1">
        <f>COUNTIF(C84:R84,"&gt;="&amp;$C$3)</f>
        <v/>
      </c>
      <c r="X84" s="5">
        <f>IF(W84=0,0,W84/$C$2)</f>
        <v/>
      </c>
      <c r="Y84" s="5">
        <f>U84*X84*10</f>
        <v/>
      </c>
    </row>
    <row r="85">
      <c r="A85" s="2" t="n">
        <v>77</v>
      </c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5">
        <f>SUMPRODUCT($C$8:$T$8,C85:T85)</f>
        <v/>
      </c>
      <c r="V85" s="5">
        <f>MAX(C85:T85)</f>
        <v/>
      </c>
      <c r="W85" s="1">
        <f>COUNTIF(C85:R85,"&gt;="&amp;$C$3)</f>
        <v/>
      </c>
      <c r="X85" s="5">
        <f>IF(W85=0,0,W85/$C$2)</f>
        <v/>
      </c>
      <c r="Y85" s="5">
        <f>U85*X85*10</f>
        <v/>
      </c>
    </row>
    <row r="86">
      <c r="A86" s="2" t="n">
        <v>78</v>
      </c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5">
        <f>SUMPRODUCT($C$8:$T$8,C86:T86)</f>
        <v/>
      </c>
      <c r="V86" s="5">
        <f>MAX(C86:T86)</f>
        <v/>
      </c>
      <c r="W86" s="1">
        <f>COUNTIF(C86:R86,"&gt;="&amp;$C$3)</f>
        <v/>
      </c>
      <c r="X86" s="5">
        <f>IF(W86=0,0,W86/$C$2)</f>
        <v/>
      </c>
      <c r="Y86" s="5">
        <f>U86*X86*10</f>
        <v/>
      </c>
    </row>
    <row r="87">
      <c r="A87" s="2" t="n">
        <v>79</v>
      </c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5">
        <f>SUMPRODUCT($C$8:$T$8,C87:T87)</f>
        <v/>
      </c>
      <c r="V87" s="5">
        <f>MAX(C87:T87)</f>
        <v/>
      </c>
      <c r="W87" s="1">
        <f>COUNTIF(C87:R87,"&gt;="&amp;$C$3)</f>
        <v/>
      </c>
      <c r="X87" s="5">
        <f>IF(W87=0,0,W87/$C$2)</f>
        <v/>
      </c>
      <c r="Y87" s="5">
        <f>U87*X87*10</f>
        <v/>
      </c>
    </row>
    <row r="88">
      <c r="A88" s="2" t="n">
        <v>80</v>
      </c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5">
        <f>SUMPRODUCT($C$8:$T$8,C88:T88)</f>
        <v/>
      </c>
      <c r="V88" s="5">
        <f>MAX(C88:T88)</f>
        <v/>
      </c>
      <c r="W88" s="1">
        <f>COUNTIF(C88:R88,"&gt;="&amp;$C$3)</f>
        <v/>
      </c>
      <c r="X88" s="5">
        <f>IF(W88=0,0,W88/$C$2)</f>
        <v/>
      </c>
      <c r="Y88" s="5">
        <f>U88*X88*10</f>
        <v/>
      </c>
    </row>
    <row r="89">
      <c r="A89" s="2" t="n">
        <v>81</v>
      </c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5">
        <f>SUMPRODUCT($C$8:$T$8,C89:T89)</f>
        <v/>
      </c>
      <c r="V89" s="5">
        <f>MAX(C89:T89)</f>
        <v/>
      </c>
      <c r="W89" s="1">
        <f>COUNTIF(C89:R89,"&gt;="&amp;$C$3)</f>
        <v/>
      </c>
      <c r="X89" s="5">
        <f>IF(W89=0,0,W89/$C$2)</f>
        <v/>
      </c>
      <c r="Y89" s="5">
        <f>U89*X89*10</f>
        <v/>
      </c>
    </row>
    <row r="90">
      <c r="A90" s="2" t="n">
        <v>82</v>
      </c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5">
        <f>SUMPRODUCT($C$8:$T$8,C90:T90)</f>
        <v/>
      </c>
      <c r="V90" s="5">
        <f>MAX(C90:T90)</f>
        <v/>
      </c>
      <c r="W90" s="1">
        <f>COUNTIF(C90:R90,"&gt;="&amp;$C$3)</f>
        <v/>
      </c>
      <c r="X90" s="5">
        <f>IF(W90=0,0,W90/$C$2)</f>
        <v/>
      </c>
      <c r="Y90" s="5">
        <f>U90*X90*10</f>
        <v/>
      </c>
    </row>
    <row r="91">
      <c r="A91" s="2" t="n">
        <v>83</v>
      </c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5">
        <f>SUMPRODUCT($C$8:$T$8,C91:T91)</f>
        <v/>
      </c>
      <c r="V91" s="5">
        <f>MAX(C91:T91)</f>
        <v/>
      </c>
      <c r="W91" s="1">
        <f>COUNTIF(C91:R91,"&gt;="&amp;$C$3)</f>
        <v/>
      </c>
      <c r="X91" s="5">
        <f>IF(W91=0,0,W91/$C$2)</f>
        <v/>
      </c>
      <c r="Y91" s="5">
        <f>U91*X91*10</f>
        <v/>
      </c>
    </row>
    <row r="92">
      <c r="A92" s="2" t="n">
        <v>84</v>
      </c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5">
        <f>SUMPRODUCT($C$8:$T$8,C92:T92)</f>
        <v/>
      </c>
      <c r="V92" s="5">
        <f>MAX(C92:T92)</f>
        <v/>
      </c>
      <c r="W92" s="1">
        <f>COUNTIF(C92:R92,"&gt;="&amp;$C$3)</f>
        <v/>
      </c>
      <c r="X92" s="5">
        <f>IF(W92=0,0,W92/$C$2)</f>
        <v/>
      </c>
      <c r="Y92" s="5">
        <f>U92*X92*10</f>
        <v/>
      </c>
    </row>
    <row r="93">
      <c r="A93" s="2" t="n">
        <v>85</v>
      </c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5">
        <f>SUMPRODUCT($C$8:$T$8,C93:T93)</f>
        <v/>
      </c>
      <c r="V93" s="5">
        <f>MAX(C93:T93)</f>
        <v/>
      </c>
      <c r="W93" s="1">
        <f>COUNTIF(C93:R93,"&gt;="&amp;$C$3)</f>
        <v/>
      </c>
      <c r="X93" s="5">
        <f>IF(W93=0,0,W93/$C$2)</f>
        <v/>
      </c>
      <c r="Y93" s="5">
        <f>U93*X93*10</f>
        <v/>
      </c>
    </row>
    <row r="94">
      <c r="A94" s="2" t="n">
        <v>86</v>
      </c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5">
        <f>SUMPRODUCT($C$8:$T$8,C94:T94)</f>
        <v/>
      </c>
      <c r="V94" s="5">
        <f>MAX(C94:T94)</f>
        <v/>
      </c>
      <c r="W94" s="1">
        <f>COUNTIF(C94:R94,"&gt;="&amp;$C$3)</f>
        <v/>
      </c>
      <c r="X94" s="5">
        <f>IF(W94=0,0,W94/$C$2)</f>
        <v/>
      </c>
      <c r="Y94" s="5">
        <f>U94*X94*10</f>
        <v/>
      </c>
    </row>
    <row r="95">
      <c r="A95" s="2" t="n">
        <v>87</v>
      </c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5">
        <f>SUMPRODUCT($C$8:$T$8,C95:T95)</f>
        <v/>
      </c>
      <c r="V95" s="5">
        <f>MAX(C95:T95)</f>
        <v/>
      </c>
      <c r="W95" s="1">
        <f>COUNTIF(C95:R95,"&gt;="&amp;$C$3)</f>
        <v/>
      </c>
      <c r="X95" s="5">
        <f>IF(W95=0,0,W95/$C$2)</f>
        <v/>
      </c>
      <c r="Y95" s="5">
        <f>U95*X95*10</f>
        <v/>
      </c>
    </row>
    <row r="96">
      <c r="A96" s="2" t="n">
        <v>88</v>
      </c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5">
        <f>SUMPRODUCT($C$8:$T$8,C96:T96)</f>
        <v/>
      </c>
      <c r="V96" s="5">
        <f>MAX(C96:T96)</f>
        <v/>
      </c>
      <c r="W96" s="1">
        <f>COUNTIF(C96:R96,"&gt;="&amp;$C$3)</f>
        <v/>
      </c>
      <c r="X96" s="5">
        <f>IF(W96=0,0,W96/$C$2)</f>
        <v/>
      </c>
      <c r="Y96" s="5">
        <f>U96*X96*10</f>
        <v/>
      </c>
    </row>
    <row r="97">
      <c r="A97" s="2" t="n">
        <v>89</v>
      </c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5">
        <f>SUMPRODUCT($C$8:$T$8,C97:T97)</f>
        <v/>
      </c>
      <c r="V97" s="5">
        <f>MAX(C97:T97)</f>
        <v/>
      </c>
      <c r="W97" s="1">
        <f>COUNTIF(C97:R97,"&gt;="&amp;$C$3)</f>
        <v/>
      </c>
      <c r="X97" s="5">
        <f>IF(W97=0,0,W97/$C$2)</f>
        <v/>
      </c>
      <c r="Y97" s="5">
        <f>U97*X97*10</f>
        <v/>
      </c>
    </row>
  </sheetData>
  <autoFilter ref="B8:Y8"/>
  <mergeCells count="2">
    <mergeCell ref="A2:A4"/>
    <mergeCell ref="U7:Y7"/>
  </mergeCells>
  <conditionalFormatting sqref="C9:T97">
    <cfRule type="containsBlanks" priority="1">
      <formula>LEN(TRIM(C9))=0</formula>
    </cfRule>
    <cfRule type="cellIs" priority="2" operator="greaterThanOrEqual" dxfId="2">
      <formula>$C$4</formula>
    </cfRule>
    <cfRule type="cellIs" priority="3" operator="between" dxfId="1">
      <formula>$C$3</formula>
      <formula>$C$4</formula>
    </cfRule>
    <cfRule type="cellIs" priority="4" operator="between" dxfId="0">
      <formula>$C$3</formula>
      <formula>0</formula>
    </cfRule>
  </conditionalFormatting>
  <pageMargins left="0.7" right="0.7" top="0.75" bottom="0.75" header="0.3" footer="0.3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Maxim Birger</dc:creator>
  <dcterms:created xmlns:dcterms="http://purl.org/dc/terms/" xmlns:xsi="http://www.w3.org/2001/XMLSchema-instance" xsi:type="dcterms:W3CDTF">2024-01-17T12:21:28Z</dcterms:created>
  <dcterms:modified xmlns:dcterms="http://purl.org/dc/terms/" xmlns:xsi="http://www.w3.org/2001/XMLSchema-instance" xsi:type="dcterms:W3CDTF">2026-05-14T05:45:21Z</dcterms:modified>
  <cp:lastModifiedBy>Maxim Birger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0x010100F58C7A43874E644AA05BEBFF0C2D51B1</vt:lpwstr>
  </property>
  <property name="MediaServiceImageTags" fmtid="{D5CDD505-2E9C-101B-9397-08002B2CF9AE}" pid="3">
    <vt:lpwstr xmlns:vt="http://schemas.openxmlformats.org/officeDocument/2006/docPropsVTypes"/>
  </property>
</Properties>
</file>